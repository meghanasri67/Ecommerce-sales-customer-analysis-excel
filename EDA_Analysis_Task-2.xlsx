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15aa6f1adead0/Documents/"/>
    </mc:Choice>
  </mc:AlternateContent>
  <xr:revisionPtr revIDLastSave="451" documentId="8_{CA32E67E-B676-4086-A656-30E4855BC334}" xr6:coauthVersionLast="47" xr6:coauthVersionMax="47" xr10:uidLastSave="{01C6C615-BC07-44BD-8DF0-7200532AABE5}"/>
  <bookViews>
    <workbookView xWindow="-110" yWindow="-110" windowWidth="19420" windowHeight="10300" xr2:uid="{3E2B8684-24A2-4DB7-9ADC-D38FC81B566A}"/>
  </bookViews>
  <sheets>
    <sheet name="ECommerce_sales_cleaned" sheetId="2" r:id="rId1"/>
    <sheet name="EDA_Analysis" sheetId="3" r:id="rId2"/>
    <sheet name="Yearly_Trend" sheetId="6" r:id="rId3"/>
    <sheet name="Channel_Analysis" sheetId="7" r:id="rId4"/>
    <sheet name="Region_Analysis" sheetId="9" r:id="rId5"/>
    <sheet name="Segment_Analysis" sheetId="10" r:id="rId6"/>
    <sheet name="Payment_Analysis" sheetId="11" r:id="rId7"/>
    <sheet name="Data_Quality" sheetId="12" r:id="rId8"/>
    <sheet name="Insights" sheetId="13" r:id="rId9"/>
  </sheets>
  <definedNames>
    <definedName name="ExternalData_1" localSheetId="0" hidden="1">ECommerce_sales_cleaned!$A$1:$AO$290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B5E2B-18A8-48FC-A417-08FE40EFBDC2}" keepAlive="1" name="Query - ecommerce_sales_customer_analytics_150k" description="Connection to the 'ecommerce_sales_customer_analytics_150k' query in the workbook." type="5" refreshedVersion="8" background="1" saveData="1">
    <dbPr connection="Provider=Microsoft.Mashup.OleDb.1;Data Source=$Workbook$;Location=ecommerce_sales_customer_analytics_150k;Extended Properties=&quot;&quot;" command="SELECT * FROM [ecommerce_sales_customer_analytics_150k]"/>
  </connection>
</connections>
</file>

<file path=xl/sharedStrings.xml><?xml version="1.0" encoding="utf-8"?>
<sst xmlns="http://schemas.openxmlformats.org/spreadsheetml/2006/main" count="6760" uniqueCount="1414">
  <si>
    <t>order_id</t>
  </si>
  <si>
    <t>order_date</t>
  </si>
  <si>
    <t>order_time</t>
  </si>
  <si>
    <t>order_status</t>
  </si>
  <si>
    <t>sales_channel</t>
  </si>
  <si>
    <t>customer_id</t>
  </si>
  <si>
    <t>customer_name</t>
  </si>
  <si>
    <t>customer_age</t>
  </si>
  <si>
    <t>gender</t>
  </si>
  <si>
    <t>customer_segment</t>
  </si>
  <si>
    <t>customer_type</t>
  </si>
  <si>
    <t>customer_city</t>
  </si>
  <si>
    <t>customer_state</t>
  </si>
  <si>
    <t>customer_country</t>
  </si>
  <si>
    <t>region</t>
  </si>
  <si>
    <t>customer_postal_code</t>
  </si>
  <si>
    <t>payment_method</t>
  </si>
  <si>
    <t>payment_status</t>
  </si>
  <si>
    <t>currency</t>
  </si>
  <si>
    <t>shipping_method</t>
  </si>
  <si>
    <t>warehouse</t>
  </si>
  <si>
    <t>delivery_status</t>
  </si>
  <si>
    <t>return_status</t>
  </si>
  <si>
    <t>return_reason</t>
  </si>
  <si>
    <t>marketing_channel</t>
  </si>
  <si>
    <t>campaign_name</t>
  </si>
  <si>
    <t>coupon_code</t>
  </si>
  <si>
    <t>loyalty_points_earned</t>
  </si>
  <si>
    <t>loyalty_points_redeemed</t>
  </si>
  <si>
    <t>quantity</t>
  </si>
  <si>
    <t>gross_sales</t>
  </si>
  <si>
    <t>discount_amount</t>
  </si>
  <si>
    <t>tax_amount</t>
  </si>
  <si>
    <t>shipping_cost</t>
  </si>
  <si>
    <t>net_sales</t>
  </si>
  <si>
    <t>product_cost</t>
  </si>
  <si>
    <t>profit</t>
  </si>
  <si>
    <t>profit_margin_percentage</t>
  </si>
  <si>
    <t>customer_lifetime_value</t>
  </si>
  <si>
    <t>is_repeat_customer</t>
  </si>
  <si>
    <t>customer_order_count</t>
  </si>
  <si>
    <t>Returned</t>
  </si>
  <si>
    <t>Mobile App</t>
  </si>
  <si>
    <t>Male</t>
  </si>
  <si>
    <t>VIP</t>
  </si>
  <si>
    <t>Loyal</t>
  </si>
  <si>
    <t>Michigan</t>
  </si>
  <si>
    <t>USA</t>
  </si>
  <si>
    <t>Central</t>
  </si>
  <si>
    <t>Buy Now Pay Later</t>
  </si>
  <si>
    <t>Refunded</t>
  </si>
  <si>
    <t>USD</t>
  </si>
  <si>
    <t>Standard</t>
  </si>
  <si>
    <t>WH-006</t>
  </si>
  <si>
    <t>Cancelled</t>
  </si>
  <si>
    <t>Wrong Product</t>
  </si>
  <si>
    <t>Organic Search</t>
  </si>
  <si>
    <t>Default_Campaign</t>
  </si>
  <si>
    <t>SAVE44</t>
  </si>
  <si>
    <t>Social Media</t>
  </si>
  <si>
    <t>Business</t>
  </si>
  <si>
    <t>Hesse</t>
  </si>
  <si>
    <t>Germany</t>
  </si>
  <si>
    <t>Bank Transfer</t>
  </si>
  <si>
    <t>EUR</t>
  </si>
  <si>
    <t>Express</t>
  </si>
  <si>
    <t>WH-009</t>
  </si>
  <si>
    <t>SAVE37</t>
  </si>
  <si>
    <t>Premium</t>
  </si>
  <si>
    <t>Baden-Württemberg</t>
  </si>
  <si>
    <t>South</t>
  </si>
  <si>
    <t>Economy</t>
  </si>
  <si>
    <t>WH-014</t>
  </si>
  <si>
    <t>Product Not as Expected</t>
  </si>
  <si>
    <t>Affiliate</t>
  </si>
  <si>
    <t>Influencer_Program</t>
  </si>
  <si>
    <t>SAVE39</t>
  </si>
  <si>
    <t>Website</t>
  </si>
  <si>
    <t>Female</t>
  </si>
  <si>
    <t>California</t>
  </si>
  <si>
    <t>West</t>
  </si>
  <si>
    <t>PayPal</t>
  </si>
  <si>
    <t>Same Day</t>
  </si>
  <si>
    <t>WH-003</t>
  </si>
  <si>
    <t>Defective Product</t>
  </si>
  <si>
    <t>Instagram</t>
  </si>
  <si>
    <t>Insta_Stories</t>
  </si>
  <si>
    <t>SAVE41</t>
  </si>
  <si>
    <t>Consumer</t>
  </si>
  <si>
    <t>Manitoba</t>
  </si>
  <si>
    <t>Canada</t>
  </si>
  <si>
    <t>CAD</t>
  </si>
  <si>
    <t>WH-017</t>
  </si>
  <si>
    <t>Referral</t>
  </si>
  <si>
    <t>Referral_Program</t>
  </si>
  <si>
    <t>SAVE22</t>
  </si>
  <si>
    <t>Debit Card</t>
  </si>
  <si>
    <t>WH-002</t>
  </si>
  <si>
    <t>Other</t>
  </si>
  <si>
    <t>Direct</t>
  </si>
  <si>
    <t>SAVE48</t>
  </si>
  <si>
    <t>ORD-171742</t>
  </si>
  <si>
    <t>CUST-014636</t>
  </si>
  <si>
    <t>Anthony Adams</t>
  </si>
  <si>
    <t>Danielsfort</t>
  </si>
  <si>
    <t>Pennsylvania</t>
  </si>
  <si>
    <t>East</t>
  </si>
  <si>
    <t>Cash on Delivery</t>
  </si>
  <si>
    <t>Google Ads</t>
  </si>
  <si>
    <t>Google_Shopping</t>
  </si>
  <si>
    <t>SAVE30</t>
  </si>
  <si>
    <t>Marketplace</t>
  </si>
  <si>
    <t>Illinois</t>
  </si>
  <si>
    <t>Credit Card</t>
  </si>
  <si>
    <t>WH-001</t>
  </si>
  <si>
    <t>SAVE15</t>
  </si>
  <si>
    <t>Queensland</t>
  </si>
  <si>
    <t>Australia</t>
  </si>
  <si>
    <t>North</t>
  </si>
  <si>
    <t>AUD</t>
  </si>
  <si>
    <t>WH-010</t>
  </si>
  <si>
    <t>SAVE16</t>
  </si>
  <si>
    <t>Northern Ireland</t>
  </si>
  <si>
    <t>UK</t>
  </si>
  <si>
    <t>GBP</t>
  </si>
  <si>
    <t>SAVE12</t>
  </si>
  <si>
    <t>ORD-776821</t>
  </si>
  <si>
    <t>CUST-021943</t>
  </si>
  <si>
    <t>Amy Bates</t>
  </si>
  <si>
    <t>Anthonyville</t>
  </si>
  <si>
    <t>Florida</t>
  </si>
  <si>
    <t>Facebook Ads</t>
  </si>
  <si>
    <t>FB_Retargeting</t>
  </si>
  <si>
    <t>ORD-537389</t>
  </si>
  <si>
    <t>CUST-005089</t>
  </si>
  <si>
    <t>Julie Bailey</t>
  </si>
  <si>
    <t>West Melissa</t>
  </si>
  <si>
    <t>Digital Wallet</t>
  </si>
  <si>
    <t>WH-012</t>
  </si>
  <si>
    <t>Affiliate_Partner</t>
  </si>
  <si>
    <t>SAVE28</t>
  </si>
  <si>
    <t>West Angela</t>
  </si>
  <si>
    <t>Georgia</t>
  </si>
  <si>
    <t>WH-004</t>
  </si>
  <si>
    <t>SAVE35</t>
  </si>
  <si>
    <t>WH-008</t>
  </si>
  <si>
    <t>Insta_Reels</t>
  </si>
  <si>
    <t>SAVE42</t>
  </si>
  <si>
    <t>Texas</t>
  </si>
  <si>
    <t>ORD-974235</t>
  </si>
  <si>
    <t>CUST-003006</t>
  </si>
  <si>
    <t>William Potter</t>
  </si>
  <si>
    <t>Returning</t>
  </si>
  <si>
    <t>Woodwardtown</t>
  </si>
  <si>
    <t>Ohio</t>
  </si>
  <si>
    <t>WH-005</t>
  </si>
  <si>
    <t>Late Delivery</t>
  </si>
  <si>
    <t>Google_Search_Q1</t>
  </si>
  <si>
    <t>SAVE31</t>
  </si>
  <si>
    <t>SAVE33</t>
  </si>
  <si>
    <t>England</t>
  </si>
  <si>
    <t>Insta_Influencer</t>
  </si>
  <si>
    <t>SAVE25</t>
  </si>
  <si>
    <t>WH-011</t>
  </si>
  <si>
    <t>Abu Dhabi</t>
  </si>
  <si>
    <t>UAE</t>
  </si>
  <si>
    <t>AED</t>
  </si>
  <si>
    <t>SAVE18</t>
  </si>
  <si>
    <t>ORD-134753</t>
  </si>
  <si>
    <t>CUST-012437</t>
  </si>
  <si>
    <t>Peggy Parks</t>
  </si>
  <si>
    <t>Starkstad</t>
  </si>
  <si>
    <t>Damaged Product</t>
  </si>
  <si>
    <t>Non-Binary</t>
  </si>
  <si>
    <t>Victoria</t>
  </si>
  <si>
    <t>WH-019</t>
  </si>
  <si>
    <t>Changed Mind</t>
  </si>
  <si>
    <t>FB_Dynamic</t>
  </si>
  <si>
    <t>SAVE19</t>
  </si>
  <si>
    <t>ORD-922214</t>
  </si>
  <si>
    <t>CUST-012724</t>
  </si>
  <si>
    <t>Melissa Cruz</t>
  </si>
  <si>
    <t>Port Wendy</t>
  </si>
  <si>
    <t>ORD-101555</t>
  </si>
  <si>
    <t>CUST-008205</t>
  </si>
  <si>
    <t>Gregory Clark</t>
  </si>
  <si>
    <t>East Nicholas</t>
  </si>
  <si>
    <t>ORD-983203</t>
  </si>
  <si>
    <t>CUST-023616</t>
  </si>
  <si>
    <t>Lindsay Horn</t>
  </si>
  <si>
    <t>Lopezton</t>
  </si>
  <si>
    <t>WH-016</t>
  </si>
  <si>
    <t>SAVE45</t>
  </si>
  <si>
    <t>New York</t>
  </si>
  <si>
    <t>ORD-261882</t>
  </si>
  <si>
    <t>CUST-011491</t>
  </si>
  <si>
    <t>Cindy Barajas</t>
  </si>
  <si>
    <t>Millerton</t>
  </si>
  <si>
    <t>North Carolina</t>
  </si>
  <si>
    <t>ORD-508563</t>
  </si>
  <si>
    <t>CUST-004379</t>
  </si>
  <si>
    <t>Tiffany Bishop</t>
  </si>
  <si>
    <t>Shaneport</t>
  </si>
  <si>
    <t>SAVE27</t>
  </si>
  <si>
    <t>Wales</t>
  </si>
  <si>
    <t>North Rhine</t>
  </si>
  <si>
    <t>SAVE34</t>
  </si>
  <si>
    <t>ORD-586057</t>
  </si>
  <si>
    <t>CUST-015199</t>
  </si>
  <si>
    <t>Tara Johnson</t>
  </si>
  <si>
    <t>Lake Lisa</t>
  </si>
  <si>
    <t>WH-007</t>
  </si>
  <si>
    <t>Email Marketing</t>
  </si>
  <si>
    <t>Promo_Email</t>
  </si>
  <si>
    <t>SAVE46</t>
  </si>
  <si>
    <t>ORD-993696</t>
  </si>
  <si>
    <t>CUST-013749</t>
  </si>
  <si>
    <t>Gabrielle Morrison</t>
  </si>
  <si>
    <t>Courtneyville</t>
  </si>
  <si>
    <t>Western Australia</t>
  </si>
  <si>
    <t>SAVE10</t>
  </si>
  <si>
    <t>WH-013</t>
  </si>
  <si>
    <t>SAVE47</t>
  </si>
  <si>
    <t>ORD-914792</t>
  </si>
  <si>
    <t>CUST-006316</t>
  </si>
  <si>
    <t>Jasmine Goodwin</t>
  </si>
  <si>
    <t>New Keith</t>
  </si>
  <si>
    <t>FB_Prospecting</t>
  </si>
  <si>
    <t>Abandoned_Cart</t>
  </si>
  <si>
    <t>ORD-116996</t>
  </si>
  <si>
    <t>CUST-009742</t>
  </si>
  <si>
    <t>Connor Nichols</t>
  </si>
  <si>
    <t>New Jamieburgh</t>
  </si>
  <si>
    <t>Bavaria</t>
  </si>
  <si>
    <t>ORD-848657</t>
  </si>
  <si>
    <t>CUST-022051</t>
  </si>
  <si>
    <t>Darren Ingram</t>
  </si>
  <si>
    <t>North Doris</t>
  </si>
  <si>
    <t>SAVE29</t>
  </si>
  <si>
    <t>ORD-557887</t>
  </si>
  <si>
    <t>CUST-013073</t>
  </si>
  <si>
    <t>Matthew Oliver</t>
  </si>
  <si>
    <t>New Christinafurt</t>
  </si>
  <si>
    <t>WH-018</t>
  </si>
  <si>
    <t>SAVE26</t>
  </si>
  <si>
    <t>Google_Display</t>
  </si>
  <si>
    <t>SAVE13</t>
  </si>
  <si>
    <t>SAVE36</t>
  </si>
  <si>
    <t>SAVE17</t>
  </si>
  <si>
    <t>ORD-691737</t>
  </si>
  <si>
    <t>CUST-001954</t>
  </si>
  <si>
    <t>Karen Mccall</t>
  </si>
  <si>
    <t>Hoffmanport</t>
  </si>
  <si>
    <t>SAVE43</t>
  </si>
  <si>
    <t>Alberta</t>
  </si>
  <si>
    <t>TikTok</t>
  </si>
  <si>
    <t>SAVE11</t>
  </si>
  <si>
    <t>ORD-993529</t>
  </si>
  <si>
    <t>CUST-003748</t>
  </si>
  <si>
    <t>Tony Munoz</t>
  </si>
  <si>
    <t>North Debbieburgh</t>
  </si>
  <si>
    <t>Size Issue</t>
  </si>
  <si>
    <t>ORD-845017</t>
  </si>
  <si>
    <t>CUST-009290</t>
  </si>
  <si>
    <t>Sherry Patterson</t>
  </si>
  <si>
    <t>Vanessafurt</t>
  </si>
  <si>
    <t>ORD-415417</t>
  </si>
  <si>
    <t>CUST-009417</t>
  </si>
  <si>
    <t>Michael Santos</t>
  </si>
  <si>
    <t>Port Christina</t>
  </si>
  <si>
    <t>ORD-730718</t>
  </si>
  <si>
    <t>CUST-007772</t>
  </si>
  <si>
    <t>Cynthia Perkins</t>
  </si>
  <si>
    <t>West Davidton</t>
  </si>
  <si>
    <t>SAVE14</t>
  </si>
  <si>
    <t>ORD-706053</t>
  </si>
  <si>
    <t>CUST-001250</t>
  </si>
  <si>
    <t>Victor Stewart</t>
  </si>
  <si>
    <t>Bakertown</t>
  </si>
  <si>
    <t>ORD-652493</t>
  </si>
  <si>
    <t>CUST-021153</t>
  </si>
  <si>
    <t>Jason Harvey</t>
  </si>
  <si>
    <t>Jacobchester</t>
  </si>
  <si>
    <t>SAVE38</t>
  </si>
  <si>
    <t>SAVE49</t>
  </si>
  <si>
    <t>ORD-826820</t>
  </si>
  <si>
    <t>CUST-023193</t>
  </si>
  <si>
    <t>Adam White</t>
  </si>
  <si>
    <t>West Denisetown</t>
  </si>
  <si>
    <t>ORD-845998</t>
  </si>
  <si>
    <t>CUST-016732</t>
  </si>
  <si>
    <t>Brittany Terry</t>
  </si>
  <si>
    <t>Cookhaven</t>
  </si>
  <si>
    <t>Scotland</t>
  </si>
  <si>
    <t>ORD-705767</t>
  </si>
  <si>
    <t>CUST-005475</t>
  </si>
  <si>
    <t>Stacey Ramos</t>
  </si>
  <si>
    <t>Henryview</t>
  </si>
  <si>
    <t>Dubai</t>
  </si>
  <si>
    <t>ORD-708310</t>
  </si>
  <si>
    <t>CUST-024918</t>
  </si>
  <si>
    <t>Russell Nguyen</t>
  </si>
  <si>
    <t>Toddville</t>
  </si>
  <si>
    <t>Sharjah</t>
  </si>
  <si>
    <t>Weekly_Newsletter</t>
  </si>
  <si>
    <t>ORD-348296</t>
  </si>
  <si>
    <t>CUST-013968</t>
  </si>
  <si>
    <t>Nicholas Miller</t>
  </si>
  <si>
    <t>New Raymond</t>
  </si>
  <si>
    <t>SAVE23</t>
  </si>
  <si>
    <t>ORD-812346</t>
  </si>
  <si>
    <t>CUST-022512</t>
  </si>
  <si>
    <t>Douglas Campbell</t>
  </si>
  <si>
    <t>Parkshaven</t>
  </si>
  <si>
    <t>ORD-461267</t>
  </si>
  <si>
    <t>CUST-021507</t>
  </si>
  <si>
    <t>Kathleen Griffin</t>
  </si>
  <si>
    <t>Julieshire</t>
  </si>
  <si>
    <t>Quebec</t>
  </si>
  <si>
    <t>ORD-614937</t>
  </si>
  <si>
    <t>CUST-020586</t>
  </si>
  <si>
    <t>Chris Norris</t>
  </si>
  <si>
    <t>Angelaland</t>
  </si>
  <si>
    <t>New South Wales</t>
  </si>
  <si>
    <t>WH-015</t>
  </si>
  <si>
    <t>SAVE24</t>
  </si>
  <si>
    <t>SAVE21</t>
  </si>
  <si>
    <t>ORD-654887</t>
  </si>
  <si>
    <t>CUST-017206</t>
  </si>
  <si>
    <t>Alexandra Flores</t>
  </si>
  <si>
    <t>Pereztown</t>
  </si>
  <si>
    <t>South Australia</t>
  </si>
  <si>
    <t>ORD-415605</t>
  </si>
  <si>
    <t>CUST-016136</t>
  </si>
  <si>
    <t>Haley Grimes</t>
  </si>
  <si>
    <t>West Johnville</t>
  </si>
  <si>
    <t>SAVE20</t>
  </si>
  <si>
    <t>Maharashtra</t>
  </si>
  <si>
    <t>India</t>
  </si>
  <si>
    <t>INR</t>
  </si>
  <si>
    <t>ORD-745196</t>
  </si>
  <si>
    <t>CUST-011397</t>
  </si>
  <si>
    <t>Brian Bennett</t>
  </si>
  <si>
    <t>Lake Henry</t>
  </si>
  <si>
    <t>ORD-799725</t>
  </si>
  <si>
    <t>CUST-001403</t>
  </si>
  <si>
    <t>Jodi Noble</t>
  </si>
  <si>
    <t>Pottsview</t>
  </si>
  <si>
    <t>Gujarat</t>
  </si>
  <si>
    <t>YouTube</t>
  </si>
  <si>
    <t>ORD-723140</t>
  </si>
  <si>
    <t>CUST-016320</t>
  </si>
  <si>
    <t>Sarah Koch</t>
  </si>
  <si>
    <t>Schmidttown</t>
  </si>
  <si>
    <t>ORD-362627</t>
  </si>
  <si>
    <t>CUST-008536</t>
  </si>
  <si>
    <t>Cameron Jordan</t>
  </si>
  <si>
    <t>Port Alejandro</t>
  </si>
  <si>
    <t>Uttar Pradesh</t>
  </si>
  <si>
    <t>Friend_Invite</t>
  </si>
  <si>
    <t>ORD-760534</t>
  </si>
  <si>
    <t>CUST-024021</t>
  </si>
  <si>
    <t>Anthony Wright</t>
  </si>
  <si>
    <t>Josehaven</t>
  </si>
  <si>
    <t>ORD-553865</t>
  </si>
  <si>
    <t>CUST-008828</t>
  </si>
  <si>
    <t>Daniel Stewart</t>
  </si>
  <si>
    <t>Hunterhaven</t>
  </si>
  <si>
    <t>Lower Saxony</t>
  </si>
  <si>
    <t>ORD-476168</t>
  </si>
  <si>
    <t>CUST-022074</t>
  </si>
  <si>
    <t>Jason Taylor</t>
  </si>
  <si>
    <t>West Bailey</t>
  </si>
  <si>
    <t>ORD-863449</t>
  </si>
  <si>
    <t>CUST-006560</t>
  </si>
  <si>
    <t>Justin Baker</t>
  </si>
  <si>
    <t>South Lindashire</t>
  </si>
  <si>
    <t>ORD-353246</t>
  </si>
  <si>
    <t>CUST-023150</t>
  </si>
  <si>
    <t>Larry Brooks</t>
  </si>
  <si>
    <t>Rebeccafurt</t>
  </si>
  <si>
    <t>ORD-168002</t>
  </si>
  <si>
    <t>CUST-013695</t>
  </si>
  <si>
    <t>Julia Christensen</t>
  </si>
  <si>
    <t>East Leslie</t>
  </si>
  <si>
    <t>ORD-179192</t>
  </si>
  <si>
    <t>CUST-023979</t>
  </si>
  <si>
    <t>Lisa Allen</t>
  </si>
  <si>
    <t>Port Rhondaborough</t>
  </si>
  <si>
    <t>ORD-290203</t>
  </si>
  <si>
    <t>CUST-010601</t>
  </si>
  <si>
    <t>Regina Downs</t>
  </si>
  <si>
    <t>Jonesfurt</t>
  </si>
  <si>
    <t>ORD-894779</t>
  </si>
  <si>
    <t>CUST-019352</t>
  </si>
  <si>
    <t>Amanda Harris</t>
  </si>
  <si>
    <t>South Kevinfurt</t>
  </si>
  <si>
    <t>ORD-220864</t>
  </si>
  <si>
    <t>CUST-005444</t>
  </si>
  <si>
    <t>Dennis Reed</t>
  </si>
  <si>
    <t>Brittanystad</t>
  </si>
  <si>
    <t>CUST-012177</t>
  </si>
  <si>
    <t>Michael Nichols</t>
  </si>
  <si>
    <t>Jenniferville</t>
  </si>
  <si>
    <t>ORD-819489</t>
  </si>
  <si>
    <t>CUST-010164</t>
  </si>
  <si>
    <t>Larry Jackson</t>
  </si>
  <si>
    <t>Port Kimberlyport</t>
  </si>
  <si>
    <t>ORD-444703</t>
  </si>
  <si>
    <t>CUST-018463</t>
  </si>
  <si>
    <t>Nicole Klein</t>
  </si>
  <si>
    <t>Bradfordburgh</t>
  </si>
  <si>
    <t>ORD-829854</t>
  </si>
  <si>
    <t>CUST-006269</t>
  </si>
  <si>
    <t>Matthew Richardson</t>
  </si>
  <si>
    <t>Costaland</t>
  </si>
  <si>
    <t>SAVE40</t>
  </si>
  <si>
    <t>ORD-667965</t>
  </si>
  <si>
    <t>CUST-015353</t>
  </si>
  <si>
    <t>Stephanie Evans</t>
  </si>
  <si>
    <t>South Nicholasville</t>
  </si>
  <si>
    <t>ORD-957045</t>
  </si>
  <si>
    <t>CUST-008111</t>
  </si>
  <si>
    <t>Tracy Mora</t>
  </si>
  <si>
    <t>Lake Pamelachester</t>
  </si>
  <si>
    <t>ORD-922283</t>
  </si>
  <si>
    <t>CUST-000183</t>
  </si>
  <si>
    <t>Yvonne Levy</t>
  </si>
  <si>
    <t>Annaport</t>
  </si>
  <si>
    <t>ORD-748495</t>
  </si>
  <si>
    <t>CUST-021415</t>
  </si>
  <si>
    <t>Jennifer Kirk</t>
  </si>
  <si>
    <t>Johnsonfort</t>
  </si>
  <si>
    <t>ORD-857319</t>
  </si>
  <si>
    <t>CUST-017044</t>
  </si>
  <si>
    <t>Michael Brown</t>
  </si>
  <si>
    <t>South Thomas</t>
  </si>
  <si>
    <t>ORD-523654</t>
  </si>
  <si>
    <t>CUST-012267</t>
  </si>
  <si>
    <t>Teresa Davidson</t>
  </si>
  <si>
    <t>West Jennifertown</t>
  </si>
  <si>
    <t>ORD-731865</t>
  </si>
  <si>
    <t>CUST-020696</t>
  </si>
  <si>
    <t>Christopher Hernandez</t>
  </si>
  <si>
    <t>Port David</t>
  </si>
  <si>
    <t>Karnataka</t>
  </si>
  <si>
    <t>SAVE32</t>
  </si>
  <si>
    <t>ORD-551153</t>
  </si>
  <si>
    <t>CUST-023540</t>
  </si>
  <si>
    <t>Ryan Flores</t>
  </si>
  <si>
    <t>Melissatown</t>
  </si>
  <si>
    <t>ORD-403674</t>
  </si>
  <si>
    <t>CUST-000077</t>
  </si>
  <si>
    <t>Brian Hurst</t>
  </si>
  <si>
    <t>South Paul</t>
  </si>
  <si>
    <t>ORD-165650</t>
  </si>
  <si>
    <t>CUST-005590</t>
  </si>
  <si>
    <t>Regina Sullivan</t>
  </si>
  <si>
    <t>West Patriciabury</t>
  </si>
  <si>
    <t>ORD-493344</t>
  </si>
  <si>
    <t>CUST-015702</t>
  </si>
  <si>
    <t>Robin Doyle</t>
  </si>
  <si>
    <t>Duffystad</t>
  </si>
  <si>
    <t>ORD-187054</t>
  </si>
  <si>
    <t>CUST-020654</t>
  </si>
  <si>
    <t>Matthew Cooper</t>
  </si>
  <si>
    <t>New Johnberg</t>
  </si>
  <si>
    <t>ORD-937127</t>
  </si>
  <si>
    <t>CUST-023878</t>
  </si>
  <si>
    <t>Rachel Johnson</t>
  </si>
  <si>
    <t>New Lori</t>
  </si>
  <si>
    <t>ORD-354368</t>
  </si>
  <si>
    <t>CUST-011101</t>
  </si>
  <si>
    <t>Brittany Walker</t>
  </si>
  <si>
    <t>South Williemouth</t>
  </si>
  <si>
    <t>ORD-805310</t>
  </si>
  <si>
    <t>CUST-015779</t>
  </si>
  <si>
    <t>Timothy Ayala</t>
  </si>
  <si>
    <t>Evansbury</t>
  </si>
  <si>
    <t>ORD-904900</t>
  </si>
  <si>
    <t>CUST-019497</t>
  </si>
  <si>
    <t>Andrew Lloyd</t>
  </si>
  <si>
    <t>North Derek</t>
  </si>
  <si>
    <t>ORD-197091</t>
  </si>
  <si>
    <t>CUST-013943</t>
  </si>
  <si>
    <t>Noah Cooper</t>
  </si>
  <si>
    <t>Cohenborough</t>
  </si>
  <si>
    <t>ORD-731058</t>
  </si>
  <si>
    <t>CUST-003600</t>
  </si>
  <si>
    <t>Brandi Moore</t>
  </si>
  <si>
    <t>New</t>
  </si>
  <si>
    <t>South Gina</t>
  </si>
  <si>
    <t>ORD-551727</t>
  </si>
  <si>
    <t>CUST-006376</t>
  </si>
  <si>
    <t>Phillip Martinez</t>
  </si>
  <si>
    <t>Acevedohaven</t>
  </si>
  <si>
    <t>British Columbia</t>
  </si>
  <si>
    <t>ORD-514146</t>
  </si>
  <si>
    <t>CUST-009841</t>
  </si>
  <si>
    <t>Julie Blackwell</t>
  </si>
  <si>
    <t>New Michellefurt</t>
  </si>
  <si>
    <t>ORD-331126</t>
  </si>
  <si>
    <t>CUST-000336</t>
  </si>
  <si>
    <t>Alex Jefferson</t>
  </si>
  <si>
    <t>Jameshaven</t>
  </si>
  <si>
    <t>Ajman</t>
  </si>
  <si>
    <t>ORD-212383</t>
  </si>
  <si>
    <t>CUST-003430</t>
  </si>
  <si>
    <t>Bradley Roy</t>
  </si>
  <si>
    <t>Baileyfort</t>
  </si>
  <si>
    <t>ORD-236509</t>
  </si>
  <si>
    <t>CUST-020242</t>
  </si>
  <si>
    <t>Cassandra Weaver</t>
  </si>
  <si>
    <t>New Karenview</t>
  </si>
  <si>
    <t>ORD-772807</t>
  </si>
  <si>
    <t>CUST-010655</t>
  </si>
  <si>
    <t>Sean Garcia</t>
  </si>
  <si>
    <t>South Lisa</t>
  </si>
  <si>
    <t>ORD-938317</t>
  </si>
  <si>
    <t>CUST-011359</t>
  </si>
  <si>
    <t>Joseph Estrada</t>
  </si>
  <si>
    <t>Hendersonchester</t>
  </si>
  <si>
    <t>ORD-935856</t>
  </si>
  <si>
    <t>CUST-020482</t>
  </si>
  <si>
    <t>Elizabeth Ferguson</t>
  </si>
  <si>
    <t>Lake Randall</t>
  </si>
  <si>
    <t>ORD-234496</t>
  </si>
  <si>
    <t>CUST-003127</t>
  </si>
  <si>
    <t>Timothy Turner</t>
  </si>
  <si>
    <t>East Joe</t>
  </si>
  <si>
    <t>ORD-264949</t>
  </si>
  <si>
    <t>CUST-001413</t>
  </si>
  <si>
    <t>Diane Douglas</t>
  </si>
  <si>
    <t>West Shawnaborough</t>
  </si>
  <si>
    <t>ORD-597493</t>
  </si>
  <si>
    <t>CUST-012068</t>
  </si>
  <si>
    <t>William Davis</t>
  </si>
  <si>
    <t>New Michaeltown</t>
  </si>
  <si>
    <t>ORD-603353</t>
  </si>
  <si>
    <t>CUST-009965</t>
  </si>
  <si>
    <t>Anthony Bryant</t>
  </si>
  <si>
    <t>Mackenzieside</t>
  </si>
  <si>
    <t>ORD-538631</t>
  </si>
  <si>
    <t>CUST-018642</t>
  </si>
  <si>
    <t>Edward Johnson</t>
  </si>
  <si>
    <t>West Maryton</t>
  </si>
  <si>
    <t>ORD-591352</t>
  </si>
  <si>
    <t>CUST-000337</t>
  </si>
  <si>
    <t>Holly Gilbert</t>
  </si>
  <si>
    <t>West Johntown</t>
  </si>
  <si>
    <t>ORD-867581</t>
  </si>
  <si>
    <t>CUST-010909</t>
  </si>
  <si>
    <t>James Alexander</t>
  </si>
  <si>
    <t>Tonyaville</t>
  </si>
  <si>
    <t>ORD-506633</t>
  </si>
  <si>
    <t>CUST-014138</t>
  </si>
  <si>
    <t>Rebecca Guerrero</t>
  </si>
  <si>
    <t>Waltersbury</t>
  </si>
  <si>
    <t>ORD-162595</t>
  </si>
  <si>
    <t>CUST-001544</t>
  </si>
  <si>
    <t>Jill Pitts</t>
  </si>
  <si>
    <t>North Robert</t>
  </si>
  <si>
    <t>ORD-718601</t>
  </si>
  <si>
    <t>CUST-016560</t>
  </si>
  <si>
    <t>Marcus Mendoza</t>
  </si>
  <si>
    <t>Lake Christophertown</t>
  </si>
  <si>
    <t>ORD-694898</t>
  </si>
  <si>
    <t>CUST-022545</t>
  </si>
  <si>
    <t>Harold Tyler</t>
  </si>
  <si>
    <t>East Racheltown</t>
  </si>
  <si>
    <t>ORD-818449</t>
  </si>
  <si>
    <t>CUST-006781</t>
  </si>
  <si>
    <t>Ricky Powell</t>
  </si>
  <si>
    <t>Parkstown</t>
  </si>
  <si>
    <t>ORD-236998</t>
  </si>
  <si>
    <t>CUST-002323</t>
  </si>
  <si>
    <t>Sandra Hendrix</t>
  </si>
  <si>
    <t>Port Kimberlytown</t>
  </si>
  <si>
    <t>ORD-152148</t>
  </si>
  <si>
    <t>CUST-016257</t>
  </si>
  <si>
    <t>Maria Campbell</t>
  </si>
  <si>
    <t>West Jessicaview</t>
  </si>
  <si>
    <t>North Kimberly</t>
  </si>
  <si>
    <t>ORD-998502</t>
  </si>
  <si>
    <t>CUST-005663</t>
  </si>
  <si>
    <t>Tiffany Brown</t>
  </si>
  <si>
    <t>Smithfort</t>
  </si>
  <si>
    <t>ORD-296089</t>
  </si>
  <si>
    <t>CUST-016506</t>
  </si>
  <si>
    <t>Melissa Jensen</t>
  </si>
  <si>
    <t>East Jenniferhaven</t>
  </si>
  <si>
    <t>ORD-358742</t>
  </si>
  <si>
    <t>CUST-019925</t>
  </si>
  <si>
    <t>Denise Phillips</t>
  </si>
  <si>
    <t>South Melissa</t>
  </si>
  <si>
    <t>ORD-873024</t>
  </si>
  <si>
    <t>CUST-019397</t>
  </si>
  <si>
    <t>Brandon Gonzalez</t>
  </si>
  <si>
    <t>New Jacob</t>
  </si>
  <si>
    <t>ORD-920727</t>
  </si>
  <si>
    <t>CUST-002573</t>
  </si>
  <si>
    <t>Mark Gardner</t>
  </si>
  <si>
    <t>West Claudia</t>
  </si>
  <si>
    <t>ORD-455175</t>
  </si>
  <si>
    <t>CUST-005500</t>
  </si>
  <si>
    <t>Maria Kim</t>
  </si>
  <si>
    <t>South Robert</t>
  </si>
  <si>
    <t>ORD-391848</t>
  </si>
  <si>
    <t>CUST-016962</t>
  </si>
  <si>
    <t>Benjamin Williams</t>
  </si>
  <si>
    <t>New Christopherburgh</t>
  </si>
  <si>
    <t>ORD-462059</t>
  </si>
  <si>
    <t>CUST-000414</t>
  </si>
  <si>
    <t>Alexandra Jones</t>
  </si>
  <si>
    <t>East Morgan</t>
  </si>
  <si>
    <t>ORD-525715</t>
  </si>
  <si>
    <t>CUST-019277</t>
  </si>
  <si>
    <t>Amanda Thomas</t>
  </si>
  <si>
    <t>East Markberg</t>
  </si>
  <si>
    <t>ORD-991846</t>
  </si>
  <si>
    <t>CUST-011925</t>
  </si>
  <si>
    <t>James Franklin</t>
  </si>
  <si>
    <t>Port Emilyfort</t>
  </si>
  <si>
    <t>ORD-721075</t>
  </si>
  <si>
    <t>CUST-006244</t>
  </si>
  <si>
    <t>Kevin Miller</t>
  </si>
  <si>
    <t>Ronaldville</t>
  </si>
  <si>
    <t>ORD-138776</t>
  </si>
  <si>
    <t>CUST-023071</t>
  </si>
  <si>
    <t>Erik Hanson</t>
  </si>
  <si>
    <t>Cobbville</t>
  </si>
  <si>
    <t>ORD-746549</t>
  </si>
  <si>
    <t>CUST-007898</t>
  </si>
  <si>
    <t>Emily Jackson</t>
  </si>
  <si>
    <t>Port Williamberg</t>
  </si>
  <si>
    <t>ORD-435278</t>
  </si>
  <si>
    <t>CUST-024142</t>
  </si>
  <si>
    <t>Danielle Johnson</t>
  </si>
  <si>
    <t>Wallfurt</t>
  </si>
  <si>
    <t>ORD-181148</t>
  </si>
  <si>
    <t>CUST-021774</t>
  </si>
  <si>
    <t>Jamie Rogers</t>
  </si>
  <si>
    <t>South Wesleyview</t>
  </si>
  <si>
    <t>ORD-112789</t>
  </si>
  <si>
    <t>CUST-018781</t>
  </si>
  <si>
    <t>Eric Bailey</t>
  </si>
  <si>
    <t>Lake Elizabethland</t>
  </si>
  <si>
    <t>ORD-129186</t>
  </si>
  <si>
    <t>CUST-011337</t>
  </si>
  <si>
    <t>Ralph Mayo</t>
  </si>
  <si>
    <t>Rosariomouth</t>
  </si>
  <si>
    <t>ORD-284545</t>
  </si>
  <si>
    <t>CUST-020597</t>
  </si>
  <si>
    <t>John Morgan</t>
  </si>
  <si>
    <t>Wilsonport</t>
  </si>
  <si>
    <t>ORD-748032</t>
  </si>
  <si>
    <t>CUST-003944</t>
  </si>
  <si>
    <t>Richard Diaz</t>
  </si>
  <si>
    <t>New Gregory</t>
  </si>
  <si>
    <t>ORD-380404</t>
  </si>
  <si>
    <t>CUST-017209</t>
  </si>
  <si>
    <t>Matthew Olson</t>
  </si>
  <si>
    <t>Lake Michael</t>
  </si>
  <si>
    <t>ORD-954971</t>
  </si>
  <si>
    <t>CUST-020239</t>
  </si>
  <si>
    <t>Mitchell Shaffer</t>
  </si>
  <si>
    <t>New Joshua</t>
  </si>
  <si>
    <t>ORD-895080</t>
  </si>
  <si>
    <t>CUST-000346</t>
  </si>
  <si>
    <t>Cynthia Gamble</t>
  </si>
  <si>
    <t>Port Leslie</t>
  </si>
  <si>
    <t>ORD-974997</t>
  </si>
  <si>
    <t>CUST-014223</t>
  </si>
  <si>
    <t>Sarah Griffin</t>
  </si>
  <si>
    <t>Lake Brettside</t>
  </si>
  <si>
    <t>ORD-264078</t>
  </si>
  <si>
    <t>CUST-004562</t>
  </si>
  <si>
    <t>Aaron Strong</t>
  </si>
  <si>
    <t>Feliciaview</t>
  </si>
  <si>
    <t>ORD-491526</t>
  </si>
  <si>
    <t>CUST-013942</t>
  </si>
  <si>
    <t>Jonathan Bass</t>
  </si>
  <si>
    <t>East Nataliebury</t>
  </si>
  <si>
    <t>ORD-838194</t>
  </si>
  <si>
    <t>CUST-020036</t>
  </si>
  <si>
    <t>Casey Skinner</t>
  </si>
  <si>
    <t>New Dalton</t>
  </si>
  <si>
    <t>ORD-929663</t>
  </si>
  <si>
    <t>CUST-001554</t>
  </si>
  <si>
    <t>Mary May</t>
  </si>
  <si>
    <t>Lake Katelyn</t>
  </si>
  <si>
    <t>ORD-417451</t>
  </si>
  <si>
    <t>CUST-014687</t>
  </si>
  <si>
    <t>Amy Camacho</t>
  </si>
  <si>
    <t>Ortizstad</t>
  </si>
  <si>
    <t>ORD-474321</t>
  </si>
  <si>
    <t>CUST-003893</t>
  </si>
  <si>
    <t>Courtney Day</t>
  </si>
  <si>
    <t>New James</t>
  </si>
  <si>
    <t>ORD-344315</t>
  </si>
  <si>
    <t>CUST-020399</t>
  </si>
  <si>
    <t>Jeffrey Love</t>
  </si>
  <si>
    <t>Hardinside</t>
  </si>
  <si>
    <t>ORD-632992</t>
  </si>
  <si>
    <t>CUST-022175</t>
  </si>
  <si>
    <t>Bridget Acosta</t>
  </si>
  <si>
    <t>Wilkinsfort</t>
  </si>
  <si>
    <t>ORD-695203</t>
  </si>
  <si>
    <t>CUST-015177</t>
  </si>
  <si>
    <t>Jason Rodriguez</t>
  </si>
  <si>
    <t>Mendozatown</t>
  </si>
  <si>
    <t>ORD-270132</t>
  </si>
  <si>
    <t>CUST-003249</t>
  </si>
  <si>
    <t>Melissa Washington</t>
  </si>
  <si>
    <t>Littleview</t>
  </si>
  <si>
    <t>ORD-361491</t>
  </si>
  <si>
    <t>CUST-006518</t>
  </si>
  <si>
    <t>Mitchell Holder</t>
  </si>
  <si>
    <t>South Jonathan</t>
  </si>
  <si>
    <t>Lake Amy</t>
  </si>
  <si>
    <t>ORD-194223</t>
  </si>
  <si>
    <t>CUST-022742</t>
  </si>
  <si>
    <t>Jeffrey Weaver</t>
  </si>
  <si>
    <t>Lake Erinchester</t>
  </si>
  <si>
    <t>ORD-316972</t>
  </si>
  <si>
    <t>CUST-005261</t>
  </si>
  <si>
    <t>Kristin Fuentes</t>
  </si>
  <si>
    <t>North Annhaven</t>
  </si>
  <si>
    <t>ORD-738094</t>
  </si>
  <si>
    <t>CUST-008744</t>
  </si>
  <si>
    <t>Carmen Perkins</t>
  </si>
  <si>
    <t>Port Heathertown</t>
  </si>
  <si>
    <t>ORD-111732</t>
  </si>
  <si>
    <t>CUST-018877</t>
  </si>
  <si>
    <t>Kyle Landry</t>
  </si>
  <si>
    <t>Taylorbury</t>
  </si>
  <si>
    <t>ORD-911076</t>
  </si>
  <si>
    <t>CUST-011341</t>
  </si>
  <si>
    <t>Andrea Donaldson</t>
  </si>
  <si>
    <t>East Tamaratown</t>
  </si>
  <si>
    <t>ORD-533150</t>
  </si>
  <si>
    <t>CUST-006385</t>
  </si>
  <si>
    <t>Tina Davis</t>
  </si>
  <si>
    <t>Powellland</t>
  </si>
  <si>
    <t>ORD-466567</t>
  </si>
  <si>
    <t>CUST-019414</t>
  </si>
  <si>
    <t>Joyce Rosales</t>
  </si>
  <si>
    <t>West Michaelstad</t>
  </si>
  <si>
    <t>ORD-318293</t>
  </si>
  <si>
    <t>CUST-009273</t>
  </si>
  <si>
    <t>Allison Snyder</t>
  </si>
  <si>
    <t>Chandlerberg</t>
  </si>
  <si>
    <t>ORD-468424</t>
  </si>
  <si>
    <t>CUST-005553</t>
  </si>
  <si>
    <t>Alicia Glover</t>
  </si>
  <si>
    <t>Austinfurt</t>
  </si>
  <si>
    <t>ORD-453435</t>
  </si>
  <si>
    <t>CUST-006738</t>
  </si>
  <si>
    <t>Michael Wilson</t>
  </si>
  <si>
    <t>Port Jeffrey</t>
  </si>
  <si>
    <t>ORD-627721</t>
  </si>
  <si>
    <t>CUST-018319</t>
  </si>
  <si>
    <t>Gregory Krueger</t>
  </si>
  <si>
    <t>Patriciaport</t>
  </si>
  <si>
    <t>Ontario</t>
  </si>
  <si>
    <t>ORD-965391</t>
  </si>
  <si>
    <t>CUST-019989</t>
  </si>
  <si>
    <t>Donald Fernandez</t>
  </si>
  <si>
    <t>North Chrisside</t>
  </si>
  <si>
    <t>ORD-128430</t>
  </si>
  <si>
    <t>CUST-014576</t>
  </si>
  <si>
    <t>Travis Simmons</t>
  </si>
  <si>
    <t>West Summerhaven</t>
  </si>
  <si>
    <t>ORD-111868</t>
  </si>
  <si>
    <t>CUST-024323</t>
  </si>
  <si>
    <t>Mark Lyons</t>
  </si>
  <si>
    <t>Lisaborough</t>
  </si>
  <si>
    <t>ORD-506545</t>
  </si>
  <si>
    <t>CUST-019382</t>
  </si>
  <si>
    <t>Tamara Lowery</t>
  </si>
  <si>
    <t>Ryanside</t>
  </si>
  <si>
    <t>ORD-763645</t>
  </si>
  <si>
    <t>CUST-020650</t>
  </si>
  <si>
    <t>Desiree Lee</t>
  </si>
  <si>
    <t>Port Kennethfort</t>
  </si>
  <si>
    <t>ORD-171962</t>
  </si>
  <si>
    <t>CUST-013556</t>
  </si>
  <si>
    <t>Samantha Smith</t>
  </si>
  <si>
    <t>Jasonstad</t>
  </si>
  <si>
    <t>ORD-752699</t>
  </si>
  <si>
    <t>CUST-002119</t>
  </si>
  <si>
    <t>Gwendolyn Riley</t>
  </si>
  <si>
    <t>Grahamville</t>
  </si>
  <si>
    <t>ORD-445095</t>
  </si>
  <si>
    <t>CUST-012378</t>
  </si>
  <si>
    <t>Adam Gay</t>
  </si>
  <si>
    <t>Anitaberg</t>
  </si>
  <si>
    <t>ORD-549720</t>
  </si>
  <si>
    <t>CUST-010844</t>
  </si>
  <si>
    <t>Rebekah Jennings</t>
  </si>
  <si>
    <t>Port Bradberg</t>
  </si>
  <si>
    <t>ORD-175221</t>
  </si>
  <si>
    <t>CUST-009375</t>
  </si>
  <si>
    <t>Anthony Burgess</t>
  </si>
  <si>
    <t>Port Kevin</t>
  </si>
  <si>
    <t>ORD-118910</t>
  </si>
  <si>
    <t>CUST-000617</t>
  </si>
  <si>
    <t>Sandra Brown</t>
  </si>
  <si>
    <t>Justinchester</t>
  </si>
  <si>
    <t>ORD-529496</t>
  </si>
  <si>
    <t>CUST-000330</t>
  </si>
  <si>
    <t>Timothy Hinton</t>
  </si>
  <si>
    <t>Kimfurt</t>
  </si>
  <si>
    <t>ORD-959071</t>
  </si>
  <si>
    <t>CUST-008894</t>
  </si>
  <si>
    <t>Matthew Phillips</t>
  </si>
  <si>
    <t>ORD-269048</t>
  </si>
  <si>
    <t>CUST-014845</t>
  </si>
  <si>
    <t>Matthew Berg</t>
  </si>
  <si>
    <t>Sethburgh</t>
  </si>
  <si>
    <t>Christinaberg</t>
  </si>
  <si>
    <t>ORD-618310</t>
  </si>
  <si>
    <t>CUST-015589</t>
  </si>
  <si>
    <t>Mark Kim</t>
  </si>
  <si>
    <t>Oliverport</t>
  </si>
  <si>
    <t>ORD-995072</t>
  </si>
  <si>
    <t>CUST-020484</t>
  </si>
  <si>
    <t>Jessica Downs</t>
  </si>
  <si>
    <t>Brianville</t>
  </si>
  <si>
    <t>ORD-264703</t>
  </si>
  <si>
    <t>CUST-019602</t>
  </si>
  <si>
    <t>Thomas Frey</t>
  </si>
  <si>
    <t>Zamoraside</t>
  </si>
  <si>
    <t>ORD-337356</t>
  </si>
  <si>
    <t>CUST-023250</t>
  </si>
  <si>
    <t>Kelly Reynolds</t>
  </si>
  <si>
    <t>Lake Paula</t>
  </si>
  <si>
    <t>ORD-468979</t>
  </si>
  <si>
    <t>CUST-014267</t>
  </si>
  <si>
    <t>Jose Perkins</t>
  </si>
  <si>
    <t>Webbfort</t>
  </si>
  <si>
    <t>ORD-813077</t>
  </si>
  <si>
    <t>CUST-023403</t>
  </si>
  <si>
    <t>Christopher Hamilton</t>
  </si>
  <si>
    <t>Katrinatown</t>
  </si>
  <si>
    <t>ORD-347306</t>
  </si>
  <si>
    <t>CUST-014050</t>
  </si>
  <si>
    <t>Sophia Austin</t>
  </si>
  <si>
    <t>Dennishaven</t>
  </si>
  <si>
    <t>ORD-308659</t>
  </si>
  <si>
    <t>CUST-021189</t>
  </si>
  <si>
    <t>Omar Gardner</t>
  </si>
  <si>
    <t>East Donnaburgh</t>
  </si>
  <si>
    <t>ORD-210271</t>
  </si>
  <si>
    <t>CUST-008700</t>
  </si>
  <si>
    <t>Andrea Anderson</t>
  </si>
  <si>
    <t>Lake Andrefort</t>
  </si>
  <si>
    <t>ORD-138057</t>
  </si>
  <si>
    <t>CUST-014022</t>
  </si>
  <si>
    <t>Bryan Alexander</t>
  </si>
  <si>
    <t>East Kellystad</t>
  </si>
  <si>
    <t>ORD-347277</t>
  </si>
  <si>
    <t>CUST-014149</t>
  </si>
  <si>
    <t>David Cantu</t>
  </si>
  <si>
    <t>Danieltown</t>
  </si>
  <si>
    <t>ORD-680879</t>
  </si>
  <si>
    <t>CUST-019491</t>
  </si>
  <si>
    <t>Sarah Roberson</t>
  </si>
  <si>
    <t>Hendrixstad</t>
  </si>
  <si>
    <t>ORD-743953</t>
  </si>
  <si>
    <t>CUST-015793</t>
  </si>
  <si>
    <t>Joseph Wilcox</t>
  </si>
  <si>
    <t>Kingbury</t>
  </si>
  <si>
    <t>ORD-493037</t>
  </si>
  <si>
    <t>CUST-001855</t>
  </si>
  <si>
    <t>Nicholas Parker</t>
  </si>
  <si>
    <t>Thomasville</t>
  </si>
  <si>
    <t>ORD-561065</t>
  </si>
  <si>
    <t>CUST-015696</t>
  </si>
  <si>
    <t>Timothy Fisher</t>
  </si>
  <si>
    <t>Keithton</t>
  </si>
  <si>
    <t>ORD-925776</t>
  </si>
  <si>
    <t>CUST-019871</t>
  </si>
  <si>
    <t>Christina Fox</t>
  </si>
  <si>
    <t>Port Samantha</t>
  </si>
  <si>
    <t>ORD-451079</t>
  </si>
  <si>
    <t>CUST-018322</t>
  </si>
  <si>
    <t>Kaitlin Hunt</t>
  </si>
  <si>
    <t>Lake Meghantown</t>
  </si>
  <si>
    <t>ORD-934396</t>
  </si>
  <si>
    <t>CUST-024076</t>
  </si>
  <si>
    <t>Oscar Sexton</t>
  </si>
  <si>
    <t>Port Judy</t>
  </si>
  <si>
    <t>ORD-701097</t>
  </si>
  <si>
    <t>CUST-003911</t>
  </si>
  <si>
    <t>Ann Sandoval</t>
  </si>
  <si>
    <t>Kevinchester</t>
  </si>
  <si>
    <t>ORD-756614</t>
  </si>
  <si>
    <t>CUST-009559</t>
  </si>
  <si>
    <t>Kelsey Rogers</t>
  </si>
  <si>
    <t>New Mike</t>
  </si>
  <si>
    <t>ORD-299854</t>
  </si>
  <si>
    <t>CUST-021273</t>
  </si>
  <si>
    <t>Autumn Simmons</t>
  </si>
  <si>
    <t>Danielleshire</t>
  </si>
  <si>
    <t>ORD-667506</t>
  </si>
  <si>
    <t>CUST-008369</t>
  </si>
  <si>
    <t>Traci Clarke</t>
  </si>
  <si>
    <t>Doughertytown</t>
  </si>
  <si>
    <t>ORD-888181</t>
  </si>
  <si>
    <t>CUST-005724</t>
  </si>
  <si>
    <t>Cheryl Barrera</t>
  </si>
  <si>
    <t>Robertsshire</t>
  </si>
  <si>
    <t>ORD-109894</t>
  </si>
  <si>
    <t>CUST-020255</t>
  </si>
  <si>
    <t>Michael Brooks</t>
  </si>
  <si>
    <t>West Jefferyberg</t>
  </si>
  <si>
    <t>ORD-118401</t>
  </si>
  <si>
    <t>CUST-012766</t>
  </si>
  <si>
    <t>Hector Stone</t>
  </si>
  <si>
    <t>Markborough</t>
  </si>
  <si>
    <t>ORD-572558</t>
  </si>
  <si>
    <t>CUST-008099</t>
  </si>
  <si>
    <t>Michelle Goodman</t>
  </si>
  <si>
    <t>Barryfurt</t>
  </si>
  <si>
    <t>ORD-792598</t>
  </si>
  <si>
    <t>CUST-019410</t>
  </si>
  <si>
    <t>Stacy Brown</t>
  </si>
  <si>
    <t>West Joshua</t>
  </si>
  <si>
    <t>ORD-747707</t>
  </si>
  <si>
    <t>CUST-011762</t>
  </si>
  <si>
    <t>Ellen Turner</t>
  </si>
  <si>
    <t>Deniseside</t>
  </si>
  <si>
    <t>ORD-444642</t>
  </si>
  <si>
    <t>CUST-022480</t>
  </si>
  <si>
    <t>Kimberly Mejia</t>
  </si>
  <si>
    <t>New Gordon</t>
  </si>
  <si>
    <t>ORD-662495</t>
  </si>
  <si>
    <t>CUST-000900</t>
  </si>
  <si>
    <t>Glenn Peters</t>
  </si>
  <si>
    <t>Farmerside</t>
  </si>
  <si>
    <t>ORD-704239</t>
  </si>
  <si>
    <t>CUST-012906</t>
  </si>
  <si>
    <t>Tracy Tapia</t>
  </si>
  <si>
    <t>North Christopherburgh</t>
  </si>
  <si>
    <t>ORD-407901</t>
  </si>
  <si>
    <t>CUST-006528</t>
  </si>
  <si>
    <t>Amber May</t>
  </si>
  <si>
    <t>Jamesstad</t>
  </si>
  <si>
    <t>ORD-852460</t>
  </si>
  <si>
    <t>CUST-003651</t>
  </si>
  <si>
    <t>James Murray</t>
  </si>
  <si>
    <t>East Andrewborough</t>
  </si>
  <si>
    <t>ORD-485162</t>
  </si>
  <si>
    <t>CUST-017588</t>
  </si>
  <si>
    <t>Megan Neal</t>
  </si>
  <si>
    <t>East Paul</t>
  </si>
  <si>
    <t>ORD-251653</t>
  </si>
  <si>
    <t>CUST-010124</t>
  </si>
  <si>
    <t>Jeff Ford</t>
  </si>
  <si>
    <t>Markhaven</t>
  </si>
  <si>
    <t>ORD-811222</t>
  </si>
  <si>
    <t>CUST-006232</t>
  </si>
  <si>
    <t>Lee Meadows</t>
  </si>
  <si>
    <t>New Randyburgh</t>
  </si>
  <si>
    <t>ORD-511755</t>
  </si>
  <si>
    <t>CUST-014229</t>
  </si>
  <si>
    <t>Kimberly Anthony</t>
  </si>
  <si>
    <t>Bellmouth</t>
  </si>
  <si>
    <t>ORD-190855</t>
  </si>
  <si>
    <t>CUST-022532</t>
  </si>
  <si>
    <t>James Lara</t>
  </si>
  <si>
    <t>North Brettshire</t>
  </si>
  <si>
    <t>ORD-748346</t>
  </si>
  <si>
    <t>CUST-012548</t>
  </si>
  <si>
    <t>Tara Smith</t>
  </si>
  <si>
    <t>West Daniel</t>
  </si>
  <si>
    <t>ORD-383647</t>
  </si>
  <si>
    <t>CUST-012536</t>
  </si>
  <si>
    <t>Bonnie Jimenez</t>
  </si>
  <si>
    <t>East Robert</t>
  </si>
  <si>
    <t>ORD-420523</t>
  </si>
  <si>
    <t>CUST-022260</t>
  </si>
  <si>
    <t>David Gilbert</t>
  </si>
  <si>
    <t>Jonathanshire</t>
  </si>
  <si>
    <t>ORD-429208</t>
  </si>
  <si>
    <t>CUST-012143</t>
  </si>
  <si>
    <t>Albert Rodriguez</t>
  </si>
  <si>
    <t>New Angelton</t>
  </si>
  <si>
    <t>ORD-419485</t>
  </si>
  <si>
    <t>CUST-022788</t>
  </si>
  <si>
    <t>Gabriela Washington</t>
  </si>
  <si>
    <t>Meganburgh</t>
  </si>
  <si>
    <t>ORD-331653</t>
  </si>
  <si>
    <t>CUST-008834</t>
  </si>
  <si>
    <t>Caroline Miller</t>
  </si>
  <si>
    <t>East Michaelbury</t>
  </si>
  <si>
    <t>ORD-953416</t>
  </si>
  <si>
    <t>CUST-002909</t>
  </si>
  <si>
    <t>Angela Martin</t>
  </si>
  <si>
    <t>Kirbyburgh</t>
  </si>
  <si>
    <t>ORD-390388</t>
  </si>
  <si>
    <t>CUST-007564</t>
  </si>
  <si>
    <t>Stephanie Carroll</t>
  </si>
  <si>
    <t>Port Margaretshire</t>
  </si>
  <si>
    <t>ORD-155625</t>
  </si>
  <si>
    <t>CUST-018194</t>
  </si>
  <si>
    <t>Hannah Powell</t>
  </si>
  <si>
    <t>Port Carlos</t>
  </si>
  <si>
    <t>ORD-589587</t>
  </si>
  <si>
    <t>CUST-019639</t>
  </si>
  <si>
    <t>Jose Taylor</t>
  </si>
  <si>
    <t>Joannafort</t>
  </si>
  <si>
    <t>ORD-170068</t>
  </si>
  <si>
    <t>CUST-011167</t>
  </si>
  <si>
    <t>Kim Crawford</t>
  </si>
  <si>
    <t>East Lisamouth</t>
  </si>
  <si>
    <t>ORD-772216</t>
  </si>
  <si>
    <t>CUST-000677</t>
  </si>
  <si>
    <t>Trevor Arellano</t>
  </si>
  <si>
    <t>Biancashire</t>
  </si>
  <si>
    <t>ORD-840826</t>
  </si>
  <si>
    <t>CUST-000767</t>
  </si>
  <si>
    <t>Robert White</t>
  </si>
  <si>
    <t>Duffyshire</t>
  </si>
  <si>
    <t>ORD-677779</t>
  </si>
  <si>
    <t>CUST-006713</t>
  </si>
  <si>
    <t>Lisa Davis</t>
  </si>
  <si>
    <t>Aaronberg</t>
  </si>
  <si>
    <t>ORD-281719</t>
  </si>
  <si>
    <t>CUST-015845</t>
  </si>
  <si>
    <t>Shannon Holt</t>
  </si>
  <si>
    <t>Sawyerstad</t>
  </si>
  <si>
    <t>ORD-757350</t>
  </si>
  <si>
    <t>CUST-020215</t>
  </si>
  <si>
    <t>Joshua Schwartz</t>
  </si>
  <si>
    <t>Browningfurt</t>
  </si>
  <si>
    <t>ORD-494885</t>
  </si>
  <si>
    <t>CUST-011720</t>
  </si>
  <si>
    <t>Michael Hughes</t>
  </si>
  <si>
    <t>Wilkinsburgh</t>
  </si>
  <si>
    <t>ORD-609129</t>
  </si>
  <si>
    <t>CUST-024452</t>
  </si>
  <si>
    <t>Nicholas Rose</t>
  </si>
  <si>
    <t>Port Kellifurt</t>
  </si>
  <si>
    <t>ORD-353757</t>
  </si>
  <si>
    <t>CUST-007566</t>
  </si>
  <si>
    <t>Pamela Benitez</t>
  </si>
  <si>
    <t>Summerstown</t>
  </si>
  <si>
    <t>ORD-133926</t>
  </si>
  <si>
    <t>CUST-016667</t>
  </si>
  <si>
    <t>Jeffrey Martinez</t>
  </si>
  <si>
    <t>Heatherville</t>
  </si>
  <si>
    <t>ORD-480983</t>
  </si>
  <si>
    <t>CUST-014914</t>
  </si>
  <si>
    <t>Cynthia Lawrence</t>
  </si>
  <si>
    <t>ORD-925185</t>
  </si>
  <si>
    <t>CUST-003808</t>
  </si>
  <si>
    <t>Charles Lewis</t>
  </si>
  <si>
    <t>Jamesville</t>
  </si>
  <si>
    <t>ORD-263358</t>
  </si>
  <si>
    <t>CUST-002938</t>
  </si>
  <si>
    <t>Daniel James</t>
  </si>
  <si>
    <t>West Kellytown</t>
  </si>
  <si>
    <t>ORD-737956</t>
  </si>
  <si>
    <t>CUST-004760</t>
  </si>
  <si>
    <t>Chad Flores</t>
  </si>
  <si>
    <t>Diazchester</t>
  </si>
  <si>
    <t>ORD-902653</t>
  </si>
  <si>
    <t>CUST-013579</t>
  </si>
  <si>
    <t>Nicholas Campos</t>
  </si>
  <si>
    <t>North Cathy</t>
  </si>
  <si>
    <t>ORD-917165</t>
  </si>
  <si>
    <t>CUST-000425</t>
  </si>
  <si>
    <t>Victoria Nguyen</t>
  </si>
  <si>
    <t>Robertchester</t>
  </si>
  <si>
    <t>ORD-348347</t>
  </si>
  <si>
    <t>CUST-005917</t>
  </si>
  <si>
    <t>Kathy Kelly</t>
  </si>
  <si>
    <t>Teresaport</t>
  </si>
  <si>
    <t>ORD-236519</t>
  </si>
  <si>
    <t>CUST-010850</t>
  </si>
  <si>
    <t>Claire Raymond</t>
  </si>
  <si>
    <t>North Susan</t>
  </si>
  <si>
    <t>ORD-750252</t>
  </si>
  <si>
    <t>CUST-010879</t>
  </si>
  <si>
    <t>Jerry Arnold</t>
  </si>
  <si>
    <t>Moralesstad</t>
  </si>
  <si>
    <t>ORD-178469</t>
  </si>
  <si>
    <t>CUST-016839</t>
  </si>
  <si>
    <t>Kathryn Wolfe</t>
  </si>
  <si>
    <t>East Gilbert</t>
  </si>
  <si>
    <t>ORD-251729</t>
  </si>
  <si>
    <t>CUST-004404</t>
  </si>
  <si>
    <t>David Hall</t>
  </si>
  <si>
    <t>South Kelliland</t>
  </si>
  <si>
    <t>ORD-858967</t>
  </si>
  <si>
    <t>CUST-013091</t>
  </si>
  <si>
    <t>Emily Huynh</t>
  </si>
  <si>
    <t>Chapmanview</t>
  </si>
  <si>
    <t>ORD-415791</t>
  </si>
  <si>
    <t>CUST-011830</t>
  </si>
  <si>
    <t>Allen Smith</t>
  </si>
  <si>
    <t>Matthewburgh</t>
  </si>
  <si>
    <t>ORD-183586</t>
  </si>
  <si>
    <t>CUST-000327</t>
  </si>
  <si>
    <t>Linda Ortiz</t>
  </si>
  <si>
    <t>East Ronaldshire</t>
  </si>
  <si>
    <t>ORD-632269</t>
  </si>
  <si>
    <t>CUST-003476</t>
  </si>
  <si>
    <t>John Sullivan</t>
  </si>
  <si>
    <t>Cynthiafurt</t>
  </si>
  <si>
    <t>ORD-744370</t>
  </si>
  <si>
    <t>CUST-002523</t>
  </si>
  <si>
    <t>Samantha Morris</t>
  </si>
  <si>
    <t>South Martintown</t>
  </si>
  <si>
    <t>ORD-199832</t>
  </si>
  <si>
    <t>CUST-011110</t>
  </si>
  <si>
    <t>Kevin Graham</t>
  </si>
  <si>
    <t>Taylorstad</t>
  </si>
  <si>
    <t>ORD-413033</t>
  </si>
  <si>
    <t>CUST-020465</t>
  </si>
  <si>
    <t>Darrell Williams</t>
  </si>
  <si>
    <t>Gutierrezview</t>
  </si>
  <si>
    <t>ORD-504810</t>
  </si>
  <si>
    <t>CUST-008270</t>
  </si>
  <si>
    <t>Jacqueline Payne</t>
  </si>
  <si>
    <t>Nguyenside</t>
  </si>
  <si>
    <t>ORD-605600</t>
  </si>
  <si>
    <t>CUST-007609</t>
  </si>
  <si>
    <t>Steven Booth</t>
  </si>
  <si>
    <t>West Matthewland</t>
  </si>
  <si>
    <t>ORD-295271</t>
  </si>
  <si>
    <t>CUST-000780</t>
  </si>
  <si>
    <t>Tammy Hansen</t>
  </si>
  <si>
    <t>West Geoffrey</t>
  </si>
  <si>
    <t>ORD-126738</t>
  </si>
  <si>
    <t>CUST-021892</t>
  </si>
  <si>
    <t>Tammy Howell</t>
  </si>
  <si>
    <t>North Jasonton</t>
  </si>
  <si>
    <t>ORD-591010</t>
  </si>
  <si>
    <t>CUST-002096</t>
  </si>
  <si>
    <t>Victor Ramsey</t>
  </si>
  <si>
    <t>Williamsshire</t>
  </si>
  <si>
    <t>ORD-978738</t>
  </si>
  <si>
    <t>CUST-014263</t>
  </si>
  <si>
    <t>Terry Gray</t>
  </si>
  <si>
    <t>Peggytown</t>
  </si>
  <si>
    <t>ORD-224316</t>
  </si>
  <si>
    <t>CUST-007843</t>
  </si>
  <si>
    <t>Pamela Bailey</t>
  </si>
  <si>
    <t>Lake Cindy</t>
  </si>
  <si>
    <t>ORD-730056</t>
  </si>
  <si>
    <t>CUST-010516</t>
  </si>
  <si>
    <t>Thomas Hanna</t>
  </si>
  <si>
    <t>South Tricia</t>
  </si>
  <si>
    <t>ORD-950725</t>
  </si>
  <si>
    <t>CUST-013615</t>
  </si>
  <si>
    <t>David Steele</t>
  </si>
  <si>
    <t>South Judy</t>
  </si>
  <si>
    <t>ORD-840111</t>
  </si>
  <si>
    <t>CUST-019253</t>
  </si>
  <si>
    <t>Melissa Hull</t>
  </si>
  <si>
    <t>Chavezshire</t>
  </si>
  <si>
    <t>ORD-332307</t>
  </si>
  <si>
    <t>CUST-010252</t>
  </si>
  <si>
    <t>Brandon Park</t>
  </si>
  <si>
    <t>Terryhaven</t>
  </si>
  <si>
    <t>ORD-707638</t>
  </si>
  <si>
    <t>CUST-017582</t>
  </si>
  <si>
    <t>Bryan Lawson</t>
  </si>
  <si>
    <t>ORD-822553</t>
  </si>
  <si>
    <t>CUST-005582</t>
  </si>
  <si>
    <t>Alexis Blevins</t>
  </si>
  <si>
    <t>Lake Michelle</t>
  </si>
  <si>
    <t>ORD-685351</t>
  </si>
  <si>
    <t>CUST-000374</t>
  </si>
  <si>
    <t>Brenda Sheppard</t>
  </si>
  <si>
    <t>Jacksontown</t>
  </si>
  <si>
    <t>ORD-291471</t>
  </si>
  <si>
    <t>CUST-013319</t>
  </si>
  <si>
    <t>Brandon Mcdonald</t>
  </si>
  <si>
    <t>Port Mark</t>
  </si>
  <si>
    <t>ORD-955088</t>
  </si>
  <si>
    <t>CUST-021982</t>
  </si>
  <si>
    <t>Patty Park</t>
  </si>
  <si>
    <t>Summersfort</t>
  </si>
  <si>
    <t>ORD-872195</t>
  </si>
  <si>
    <t>CUST-003522</t>
  </si>
  <si>
    <t>Jeremy Elliott</t>
  </si>
  <si>
    <t>Ortegafort</t>
  </si>
  <si>
    <t>ORD-873299</t>
  </si>
  <si>
    <t>CUST-013220</t>
  </si>
  <si>
    <t>Emma Harvey</t>
  </si>
  <si>
    <t>Michaelstad</t>
  </si>
  <si>
    <t>ORD-291904</t>
  </si>
  <si>
    <t>CUST-017487</t>
  </si>
  <si>
    <t>Tiffany James</t>
  </si>
  <si>
    <t>Kennedyshire</t>
  </si>
  <si>
    <t>ORD-945755</t>
  </si>
  <si>
    <t>CUST-022494</t>
  </si>
  <si>
    <t>David Matthews</t>
  </si>
  <si>
    <t>Lake Teresaside</t>
  </si>
  <si>
    <t>ORD-195387</t>
  </si>
  <si>
    <t>CUST-015000</t>
  </si>
  <si>
    <t>Andrea Parker</t>
  </si>
  <si>
    <t>Anthonyside</t>
  </si>
  <si>
    <t>Robertburgh</t>
  </si>
  <si>
    <t>ORD-474460</t>
  </si>
  <si>
    <t>CUST-023337</t>
  </si>
  <si>
    <t>Courtney Cook</t>
  </si>
  <si>
    <t>West Ellenchester</t>
  </si>
  <si>
    <t>ORD-749459</t>
  </si>
  <si>
    <t>CUST-011583</t>
  </si>
  <si>
    <t>Shane Cooper</t>
  </si>
  <si>
    <t>Newmanchester</t>
  </si>
  <si>
    <t>ORD-102615</t>
  </si>
  <si>
    <t>CUST-006193</t>
  </si>
  <si>
    <t>Jeffrey Richardson</t>
  </si>
  <si>
    <t>ORD-606612</t>
  </si>
  <si>
    <t>CUST-004089</t>
  </si>
  <si>
    <t>Rachel Spencer</t>
  </si>
  <si>
    <t>Cervantesview</t>
  </si>
  <si>
    <t>ORD-302391</t>
  </si>
  <si>
    <t>CUST-011571</t>
  </si>
  <si>
    <t>Christopher Willis</t>
  </si>
  <si>
    <t>South Paula</t>
  </si>
  <si>
    <t>ORD-178953</t>
  </si>
  <si>
    <t>CUST-018680</t>
  </si>
  <si>
    <t>Victor Shields</t>
  </si>
  <si>
    <t>North Brianburgh</t>
  </si>
  <si>
    <t>ORD-390525</t>
  </si>
  <si>
    <t>CUST-012218</t>
  </si>
  <si>
    <t>Corey Henry</t>
  </si>
  <si>
    <t>Paulshire</t>
  </si>
  <si>
    <t>ORD-647963</t>
  </si>
  <si>
    <t>CUST-006692</t>
  </si>
  <si>
    <t>Shawn Bishop</t>
  </si>
  <si>
    <t>South Fernandochester</t>
  </si>
  <si>
    <t>ORD-682940</t>
  </si>
  <si>
    <t>CUST-007297</t>
  </si>
  <si>
    <t>Kelsey Cook</t>
  </si>
  <si>
    <t>Candicehaven</t>
  </si>
  <si>
    <t>ORD-799099</t>
  </si>
  <si>
    <t>CUST-004436</t>
  </si>
  <si>
    <t>Timothy Allen</t>
  </si>
  <si>
    <t>North Nicholas</t>
  </si>
  <si>
    <t>ORD-904951</t>
  </si>
  <si>
    <t>CUST-023285</t>
  </si>
  <si>
    <t>Pamela Moore</t>
  </si>
  <si>
    <t>East Laurieshire</t>
  </si>
  <si>
    <t>ORD-631936</t>
  </si>
  <si>
    <t>CUST-017475</t>
  </si>
  <si>
    <t>Misty Tate</t>
  </si>
  <si>
    <t>Kellyport</t>
  </si>
  <si>
    <t>ORD-351864</t>
  </si>
  <si>
    <t>CUST-020461</t>
  </si>
  <si>
    <t>April Rodriguez</t>
  </si>
  <si>
    <t>New Amymouth</t>
  </si>
  <si>
    <t>ORD-833983</t>
  </si>
  <si>
    <t>CUST-001865</t>
  </si>
  <si>
    <t>Kevin Lang</t>
  </si>
  <si>
    <t>East Frank</t>
  </si>
  <si>
    <t>ORD-511175</t>
  </si>
  <si>
    <t>CUST-019215</t>
  </si>
  <si>
    <t>Kyle Bernard</t>
  </si>
  <si>
    <t>Lake Cynthia</t>
  </si>
  <si>
    <t>ORD-886109</t>
  </si>
  <si>
    <t>CUST-008328</t>
  </si>
  <si>
    <t>Thomas Huang</t>
  </si>
  <si>
    <t>Adrianland</t>
  </si>
  <si>
    <t>ORD-961687</t>
  </si>
  <si>
    <t>CUST-015757</t>
  </si>
  <si>
    <t>Julie Booker</t>
  </si>
  <si>
    <t>Brendaview</t>
  </si>
  <si>
    <t>ORD-588777</t>
  </si>
  <si>
    <t>CUST-001101</t>
  </si>
  <si>
    <t>Brittany Ramirez</t>
  </si>
  <si>
    <t>Jonesview</t>
  </si>
  <si>
    <t>ORD-298192</t>
  </si>
  <si>
    <t>CUST-011651</t>
  </si>
  <si>
    <t>Adrian Perez</t>
  </si>
  <si>
    <t>ORD-390013</t>
  </si>
  <si>
    <t>CUST-019660</t>
  </si>
  <si>
    <t>Yolanda Winters</t>
  </si>
  <si>
    <t>West Faithchester</t>
  </si>
  <si>
    <t>ORD-303993</t>
  </si>
  <si>
    <t>CUST-018965</t>
  </si>
  <si>
    <t>Elijah Johnson</t>
  </si>
  <si>
    <t>North Christopherville</t>
  </si>
  <si>
    <t>ORD-753882</t>
  </si>
  <si>
    <t>CUST-012380</t>
  </si>
  <si>
    <t>Kendra Schneider</t>
  </si>
  <si>
    <t>Lopeztown</t>
  </si>
  <si>
    <t>ORD-637704</t>
  </si>
  <si>
    <t>CUST-000934</t>
  </si>
  <si>
    <t>Ashlee Rogers</t>
  </si>
  <si>
    <t>ORD-618876</t>
  </si>
  <si>
    <t>CUST-002642</t>
  </si>
  <si>
    <t>Jeffery Robbins</t>
  </si>
  <si>
    <t>Patriciaside</t>
  </si>
  <si>
    <t>CUST-000977</t>
  </si>
  <si>
    <t>Eric Rodriguez</t>
  </si>
  <si>
    <t>Mendozaland</t>
  </si>
  <si>
    <t>ORD-873049</t>
  </si>
  <si>
    <t>CUST-000128</t>
  </si>
  <si>
    <t>Jackie Meza</t>
  </si>
  <si>
    <t>New Stacy</t>
  </si>
  <si>
    <t>ORD-173863</t>
  </si>
  <si>
    <t>CUST-015908</t>
  </si>
  <si>
    <t>Robert Stewart</t>
  </si>
  <si>
    <t>Cooperchester</t>
  </si>
  <si>
    <t>ORD-679637</t>
  </si>
  <si>
    <t>CUST-011947</t>
  </si>
  <si>
    <t>Ashley Marquez</t>
  </si>
  <si>
    <t>West Larrymouth</t>
  </si>
  <si>
    <t>ORD-411929</t>
  </si>
  <si>
    <t>CUST-003435</t>
  </si>
  <si>
    <t>Kathleen Sanders</t>
  </si>
  <si>
    <t>Mooreburgh</t>
  </si>
  <si>
    <t>ORD-248662</t>
  </si>
  <si>
    <t>CUST-020657</t>
  </si>
  <si>
    <t>Rebecca Sanchez</t>
  </si>
  <si>
    <t>North Bradleyville</t>
  </si>
  <si>
    <t>ORD-974172</t>
  </si>
  <si>
    <t>CUST-023131</t>
  </si>
  <si>
    <t>Donna Rojas</t>
  </si>
  <si>
    <t>ORD-963321</t>
  </si>
  <si>
    <t>CUST-001218</t>
  </si>
  <si>
    <t>Joseph Davila</t>
  </si>
  <si>
    <t>New Valeriefort</t>
  </si>
  <si>
    <t>ORD-118846</t>
  </si>
  <si>
    <t>CUST-010065</t>
  </si>
  <si>
    <t>Kiara Salinas</t>
  </si>
  <si>
    <t>Chantown</t>
  </si>
  <si>
    <t>ORD-310687</t>
  </si>
  <si>
    <t>CUST-012190</t>
  </si>
  <si>
    <t>Laura Hernandez</t>
  </si>
  <si>
    <t>West Jaimeside</t>
  </si>
  <si>
    <t>ORD-320872</t>
  </si>
  <si>
    <t>ORD-304501</t>
  </si>
  <si>
    <t>ORD-433216</t>
  </si>
  <si>
    <t>CUST-013500</t>
  </si>
  <si>
    <t>Kyle Jordan</t>
  </si>
  <si>
    <t>Lake Carriemouth</t>
  </si>
  <si>
    <t>ORD-317907</t>
  </si>
  <si>
    <t>CUST-010415</t>
  </si>
  <si>
    <t>Brenda Perez</t>
  </si>
  <si>
    <t>South Johnborough</t>
  </si>
  <si>
    <t>ORD-155981</t>
  </si>
  <si>
    <t>CUST-015809</t>
  </si>
  <si>
    <t>Gina Moore</t>
  </si>
  <si>
    <t>Holmesside</t>
  </si>
  <si>
    <t>ORD-987627</t>
  </si>
  <si>
    <t>CUST-024188</t>
  </si>
  <si>
    <t>James Fowler</t>
  </si>
  <si>
    <t>Williamburgh</t>
  </si>
  <si>
    <t>ORD-838024</t>
  </si>
  <si>
    <t>CUST-020807</t>
  </si>
  <si>
    <t>Alexander Warren</t>
  </si>
  <si>
    <t>Flowershaven</t>
  </si>
  <si>
    <t>ORD-709351</t>
  </si>
  <si>
    <t>CUST-010153</t>
  </si>
  <si>
    <t>Mary Beasley</t>
  </si>
  <si>
    <t>Reyesfort</t>
  </si>
  <si>
    <t>ORD-159444</t>
  </si>
  <si>
    <t>CUST-001299</t>
  </si>
  <si>
    <t>Victor Mooney</t>
  </si>
  <si>
    <t>Wilsonmouth</t>
  </si>
  <si>
    <t>ORD-666438</t>
  </si>
  <si>
    <t>CUST-020557</t>
  </si>
  <si>
    <t>Vicki Robinson</t>
  </si>
  <si>
    <t>Lake Anthonychester</t>
  </si>
  <si>
    <t>Total Profit</t>
  </si>
  <si>
    <t>Grand Total</t>
  </si>
  <si>
    <t>Year</t>
  </si>
  <si>
    <t>2021</t>
  </si>
  <si>
    <t>2022</t>
  </si>
  <si>
    <t>2023</t>
  </si>
  <si>
    <t>2024</t>
  </si>
  <si>
    <t>2025</t>
  </si>
  <si>
    <t>Sum of net_sales</t>
  </si>
  <si>
    <t>Total Orders</t>
  </si>
  <si>
    <t>Total Quantity</t>
  </si>
  <si>
    <t>Key Metrics</t>
  </si>
  <si>
    <t>Values</t>
  </si>
  <si>
    <t>Check</t>
  </si>
  <si>
    <t>Result</t>
  </si>
  <si>
    <t>Total rows</t>
  </si>
  <si>
    <t>Total columns</t>
  </si>
  <si>
    <t>Duplicate rows</t>
  </si>
  <si>
    <t>Rows with any missing value</t>
  </si>
  <si>
    <t>Minimum order date</t>
  </si>
  <si>
    <t>Maximum order date</t>
  </si>
  <si>
    <t>Unique order IDs</t>
  </si>
  <si>
    <t>Payment status values</t>
  </si>
  <si>
    <t>Delivery status values</t>
  </si>
  <si>
    <t>Return status values</t>
  </si>
  <si>
    <t>Insights</t>
  </si>
  <si>
    <t>2025 generated the highest yearly net sales.</t>
  </si>
  <si>
    <t>Mobile App was the largest sales channel.</t>
  </si>
  <si>
    <t>South region contributed the highest net sales.</t>
  </si>
  <si>
    <t>Consumer customers generated the largest share of net sales.</t>
  </si>
  <si>
    <t>Orders</t>
  </si>
  <si>
    <t>Profit</t>
  </si>
  <si>
    <t>Avg_Profit_Margin</t>
  </si>
  <si>
    <t>Credit card had the highest net sales among payment methods in this data.</t>
  </si>
  <si>
    <t>Quantity</t>
  </si>
  <si>
    <t>Region</t>
  </si>
  <si>
    <t>Payment Method</t>
  </si>
  <si>
    <t>Customer Segment</t>
  </si>
  <si>
    <t>Sales_Channel</t>
  </si>
  <si>
    <t>Total Net Sales</t>
  </si>
  <si>
    <t>All 289 rows are marked Refunded, Cancelled, and Returned, while positive net sales and profit are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</si>
</sst>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400]h:mm:ss\ AM/PM"/>
    <numFmt numFmtId="165" formatCode="yyyy\-mm\-d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42" applyFont="1"/>
    <xf numFmtId="0" fontId="16" fillId="33" borderId="10" xfId="0" applyFont="1" applyFill="1" applyBorder="1"/>
    <xf numFmtId="2" fontId="0" fillId="0" borderId="0" xfId="0" applyNumberFormat="1"/>
    <xf numFmtId="0" fontId="16" fillId="0" borderId="0" xfId="0" applyFont="1"/>
    <xf numFmtId="43" fontId="0" fillId="0" borderId="0" xfId="0" pivotButton="1" applyNumberFormat="1"/>
    <xf numFmtId="43" fontId="0" fillId="0" borderId="0" xfId="0" applyNumberFormat="1"/>
    <xf numFmtId="43" fontId="0" fillId="0" borderId="0" xfId="0" applyNumberFormat="1" applyAlignment="1">
      <alignment horizontal="left"/>
    </xf>
    <xf numFmtId="43" fontId="16" fillId="33" borderId="10" xfId="42" applyFont="1" applyFill="1" applyBorder="1"/>
    <xf numFmtId="43" fontId="16" fillId="33" borderId="11" xfId="42" applyFont="1" applyFill="1" applyBorder="1"/>
    <xf numFmtId="0" fontId="18" fillId="0" borderId="12" xfId="0" applyFont="1" applyBorder="1" applyAlignment="1">
      <alignment horizontal="center"/>
    </xf>
    <xf numFmtId="165" fontId="0" fillId="0" borderId="0" xfId="0" applyNumberFormat="1"/>
    <xf numFmtId="0" fontId="19" fillId="0" borderId="0" xfId="0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7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by Net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75162.889999999985</c:v>
              </c:pt>
              <c:pt idx="1">
                <c:v>58278.219999999994</c:v>
              </c:pt>
              <c:pt idx="2">
                <c:v>86687.200000000012</c:v>
              </c:pt>
              <c:pt idx="3">
                <c:v>84932.569999999978</c:v>
              </c:pt>
              <c:pt idx="4">
                <c:v>103160.49999999994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42F-4FF9-BDD5-F87181C31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196607"/>
        <c:axId val="938695055"/>
      </c:lineChart>
      <c:catAx>
        <c:axId val="109919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95055"/>
        <c:crosses val="autoZero"/>
        <c:auto val="1"/>
        <c:lblAlgn val="ctr"/>
        <c:lblOffset val="100"/>
        <c:noMultiLvlLbl val="0"/>
      </c:catAx>
      <c:valAx>
        <c:axId val="93869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9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Channel by Net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Marketplace</c:v>
              </c:pt>
              <c:pt idx="1">
                <c:v>Mobile App</c:v>
              </c:pt>
              <c:pt idx="2">
                <c:v>Social Media</c:v>
              </c:pt>
              <c:pt idx="3">
                <c:v>Website</c:v>
              </c:pt>
            </c:strLit>
          </c:cat>
          <c:val>
            <c:numLit>
              <c:formatCode>General</c:formatCode>
              <c:ptCount val="4"/>
              <c:pt idx="0">
                <c:v>58601.300000000017</c:v>
              </c:pt>
              <c:pt idx="1">
                <c:v>170330.36</c:v>
              </c:pt>
              <c:pt idx="2">
                <c:v>26458.429999999993</c:v>
              </c:pt>
              <c:pt idx="3">
                <c:v>152831.29</c:v>
              </c:pt>
            </c:numLit>
          </c:val>
          <c:extLst>
            <c:ext xmlns:c16="http://schemas.microsoft.com/office/drawing/2014/chart" uri="{C3380CC4-5D6E-409C-BE32-E72D297353CC}">
              <c16:uniqueId val="{00000000-C9B2-4B32-BA60-BF2D2F031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147423"/>
        <c:axId val="1117605839"/>
      </c:barChart>
      <c:catAx>
        <c:axId val="11281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05839"/>
        <c:crosses val="autoZero"/>
        <c:auto val="1"/>
        <c:lblAlgn val="ctr"/>
        <c:lblOffset val="100"/>
        <c:noMultiLvlLbl val="0"/>
      </c:catAx>
      <c:valAx>
        <c:axId val="111760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4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by Sales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Marketplace</c:v>
              </c:pt>
              <c:pt idx="1">
                <c:v>Mobile App</c:v>
              </c:pt>
              <c:pt idx="2">
                <c:v>Social Media</c:v>
              </c:pt>
              <c:pt idx="3">
                <c:v>Website</c:v>
              </c:pt>
            </c:strLit>
          </c:cat>
          <c:val>
            <c:numLit>
              <c:formatCode>General</c:formatCode>
              <c:ptCount val="4"/>
              <c:pt idx="0">
                <c:v>193</c:v>
              </c:pt>
              <c:pt idx="1">
                <c:v>623</c:v>
              </c:pt>
              <c:pt idx="2">
                <c:v>103</c:v>
              </c:pt>
              <c:pt idx="3">
                <c:v>572</c:v>
              </c:pt>
            </c:numLit>
          </c:val>
          <c:extLst>
            <c:ext xmlns:c16="http://schemas.microsoft.com/office/drawing/2014/chart" uri="{C3380CC4-5D6E-409C-BE32-E72D297353CC}">
              <c16:uniqueId val="{00000000-C804-46C2-B78D-2060876C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019824"/>
        <c:axId val="576945872"/>
      </c:barChart>
      <c:catAx>
        <c:axId val="5850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45872"/>
        <c:crosses val="autoZero"/>
        <c:auto val="1"/>
        <c:lblAlgn val="ctr"/>
        <c:lblOffset val="100"/>
        <c:noMultiLvlLbl val="0"/>
      </c:catAx>
      <c:valAx>
        <c:axId val="5769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1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41346.49</c:v>
              </c:pt>
              <c:pt idx="1">
                <c:v>34608.729999999989</c:v>
              </c:pt>
              <c:pt idx="2">
                <c:v>28200.469999999998</c:v>
              </c:pt>
              <c:pt idx="3">
                <c:v>69430.490000000005</c:v>
              </c:pt>
              <c:pt idx="4">
                <c:v>44121.98000000001</c:v>
              </c:pt>
            </c:numLit>
          </c:val>
          <c:extLst>
            <c:ext xmlns:c16="http://schemas.microsoft.com/office/drawing/2014/chart" uri="{C3380CC4-5D6E-409C-BE32-E72D297353CC}">
              <c16:uniqueId val="{00000000-C729-405B-8661-A94222A07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608703"/>
        <c:axId val="938683535"/>
      </c:barChart>
      <c:catAx>
        <c:axId val="8396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83535"/>
        <c:crosses val="autoZero"/>
        <c:auto val="1"/>
        <c:lblAlgn val="ctr"/>
        <c:lblOffset val="100"/>
        <c:noMultiLvlLbl val="0"/>
      </c:catAx>
      <c:valAx>
        <c:axId val="9386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0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Segment by Net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Business</c:v>
              </c:pt>
              <c:pt idx="1">
                <c:v>Consumer</c:v>
              </c:pt>
              <c:pt idx="2">
                <c:v>Premium</c:v>
              </c:pt>
              <c:pt idx="3">
                <c:v>VIP</c:v>
              </c:pt>
            </c:strLit>
          </c:cat>
          <c:val>
            <c:numLit>
              <c:formatCode>General</c:formatCode>
              <c:ptCount val="4"/>
              <c:pt idx="0">
                <c:v>34493.25</c:v>
              </c:pt>
              <c:pt idx="1">
                <c:v>208337.03000000009</c:v>
              </c:pt>
              <c:pt idx="2">
                <c:v>102334.04</c:v>
              </c:pt>
              <c:pt idx="3">
                <c:v>63057.060000000012</c:v>
              </c:pt>
            </c:numLit>
          </c:val>
          <c:extLst>
            <c:ext xmlns:c16="http://schemas.microsoft.com/office/drawing/2014/chart" uri="{C3380CC4-5D6E-409C-BE32-E72D297353CC}">
              <c16:uniqueId val="{00000000-CD68-4519-99E4-EC9EC73A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960863"/>
        <c:axId val="1117597679"/>
      </c:barChart>
      <c:catAx>
        <c:axId val="10579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97679"/>
        <c:crosses val="autoZero"/>
        <c:auto val="1"/>
        <c:lblAlgn val="ctr"/>
        <c:lblOffset val="100"/>
        <c:noMultiLvlLbl val="0"/>
      </c:catAx>
      <c:valAx>
        <c:axId val="111759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96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 by Customer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Business</c:v>
              </c:pt>
              <c:pt idx="1">
                <c:v>Consumer</c:v>
              </c:pt>
              <c:pt idx="2">
                <c:v>Premium</c:v>
              </c:pt>
              <c:pt idx="3">
                <c:v>VIP</c:v>
              </c:pt>
            </c:strLit>
          </c:cat>
          <c:val>
            <c:numLit>
              <c:formatCode>General</c:formatCode>
              <c:ptCount val="4"/>
              <c:pt idx="0">
                <c:v>28</c:v>
              </c:pt>
              <c:pt idx="1">
                <c:v>151</c:v>
              </c:pt>
              <c:pt idx="2">
                <c:v>65</c:v>
              </c:pt>
              <c:pt idx="3">
                <c:v>45</c:v>
              </c:pt>
            </c:numLit>
          </c:val>
          <c:extLst>
            <c:ext xmlns:c16="http://schemas.microsoft.com/office/drawing/2014/chart" uri="{C3380CC4-5D6E-409C-BE32-E72D297353CC}">
              <c16:uniqueId val="{00000000-29CD-4675-B4F7-4465080B3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359503"/>
        <c:axId val="1117670159"/>
      </c:barChart>
      <c:catAx>
        <c:axId val="11773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70159"/>
        <c:crosses val="autoZero"/>
        <c:auto val="1"/>
        <c:lblAlgn val="ctr"/>
        <c:lblOffset val="100"/>
        <c:noMultiLvlLbl val="0"/>
      </c:catAx>
      <c:valAx>
        <c:axId val="111767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3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Business</c:v>
              </c:pt>
              <c:pt idx="1">
                <c:v>Consumer</c:v>
              </c:pt>
              <c:pt idx="2">
                <c:v>Premium</c:v>
              </c:pt>
              <c:pt idx="3">
                <c:v>VIP</c:v>
              </c:pt>
            </c:strLit>
          </c:cat>
          <c:val>
            <c:numLit>
              <c:formatCode>General</c:formatCode>
              <c:ptCount val="4"/>
              <c:pt idx="0">
                <c:v>18759.55</c:v>
              </c:pt>
              <c:pt idx="1">
                <c:v>111533.21999999996</c:v>
              </c:pt>
              <c:pt idx="2">
                <c:v>53545.259999999995</c:v>
              </c:pt>
              <c:pt idx="3">
                <c:v>33870.129999999997</c:v>
              </c:pt>
            </c:numLit>
          </c:val>
          <c:extLst>
            <c:ext xmlns:c16="http://schemas.microsoft.com/office/drawing/2014/chart" uri="{C3380CC4-5D6E-409C-BE32-E72D297353CC}">
              <c16:uniqueId val="{00000000-695C-47C5-8B54-E00DCCEB8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6193439"/>
        <c:axId val="837755919"/>
      </c:barChart>
      <c:catAx>
        <c:axId val="110619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755919"/>
        <c:crosses val="autoZero"/>
        <c:auto val="1"/>
        <c:lblAlgn val="ctr"/>
        <c:lblOffset val="100"/>
        <c:noMultiLvlLbl val="0"/>
      </c:catAx>
      <c:valAx>
        <c:axId val="83775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9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[EDA_Analysis_Task-2.xlsx]Payment_Analysis!PivotTable4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by Net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Payment_Analysis!$A$2:$A$9</c:f>
              <c:strCache>
                <c:ptCount val="7"/>
                <c:pt idx="0">
                  <c:v>Bank Transfer</c:v>
                </c:pt>
                <c:pt idx="1">
                  <c:v>Buy Now Pay Later</c:v>
                </c:pt>
                <c:pt idx="2">
                  <c:v>Cash on Delivery</c:v>
                </c:pt>
                <c:pt idx="3">
                  <c:v>Credit Card</c:v>
                </c:pt>
                <c:pt idx="4">
                  <c:v>Debit Card</c:v>
                </c:pt>
                <c:pt idx="5">
                  <c:v>Digital Wallet</c:v>
                </c:pt>
                <c:pt idx="6">
                  <c:v>PayPal</c:v>
                </c:pt>
              </c:strCache>
            </c:strRef>
          </c:cat>
          <c:val>
            <c:numRef>
              <c:f>Payment_Analysis!$B$2:$B$9</c:f>
              <c:numCache>
                <c:formatCode>_(* #,##0.00_);_(* \(#,##0.00\);_(* "-"??_);_(@_)</c:formatCode>
                <c:ptCount val="7"/>
                <c:pt idx="0">
                  <c:v>23781.170000000002</c:v>
                </c:pt>
                <c:pt idx="1">
                  <c:v>42331.14</c:v>
                </c:pt>
                <c:pt idx="2">
                  <c:v>41990.16</c:v>
                </c:pt>
                <c:pt idx="3">
                  <c:v>133112.02999999997</c:v>
                </c:pt>
                <c:pt idx="4">
                  <c:v>84444.999999999985</c:v>
                </c:pt>
                <c:pt idx="5">
                  <c:v>40082.629999999997</c:v>
                </c:pt>
                <c:pt idx="6">
                  <c:v>42479.25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7-4245-B04F-E419C7E57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673200"/>
        <c:axId val="576945392"/>
      </c:barChart>
      <c:catAx>
        <c:axId val="65267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45392"/>
        <c:crosses val="autoZero"/>
        <c:auto val="1"/>
        <c:lblAlgn val="ctr"/>
        <c:lblOffset val="100"/>
        <c:noMultiLvlLbl val="0"/>
      </c:catAx>
      <c:valAx>
        <c:axId val="5769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7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495300</xdr:colOff>
      <xdr:row>13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F87C5-3F1A-4655-BFFB-15D3D2279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8</xdr:row>
      <xdr:rowOff>44450</xdr:rowOff>
    </xdr:from>
    <xdr:to>
      <xdr:col>3</xdr:col>
      <xdr:colOff>44450</xdr:colOff>
      <xdr:row>19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89CB7D-5C70-4407-86EB-FA095DDEE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82550</xdr:colOff>
      <xdr:row>8</xdr:row>
      <xdr:rowOff>44450</xdr:rowOff>
    </xdr:from>
    <xdr:to>
      <xdr:col>9</xdr:col>
      <xdr:colOff>12700</xdr:colOff>
      <xdr:row>19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7DD0B6-E375-4141-A63D-231E9E214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222250</xdr:colOff>
      <xdr:row>11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B0089-7318-4CEA-99F3-B4BAB53C7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8</xdr:row>
      <xdr:rowOff>171450</xdr:rowOff>
    </xdr:from>
    <xdr:to>
      <xdr:col>2</xdr:col>
      <xdr:colOff>254000</xdr:colOff>
      <xdr:row>19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E4439-247E-4298-A23B-827B6BC7C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298450</xdr:colOff>
      <xdr:row>8</xdr:row>
      <xdr:rowOff>177800</xdr:rowOff>
    </xdr:from>
    <xdr:to>
      <xdr:col>4</xdr:col>
      <xdr:colOff>711200</xdr:colOff>
      <xdr:row>19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213E24-6CA7-42AD-A3A6-BDD53A1B7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762000</xdr:colOff>
      <xdr:row>9</xdr:row>
      <xdr:rowOff>0</xdr:rowOff>
    </xdr:from>
    <xdr:to>
      <xdr:col>6</xdr:col>
      <xdr:colOff>419100</xdr:colOff>
      <xdr:row>19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5DF7A2-0A89-4CE6-BE5E-91B0C51AE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438150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9CFDC-6D22-43E6-8D55-ED7D1ECE5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NA" refreshedDate="46290.917945833331" createdVersion="8" refreshedVersion="8" minRefreshableVersion="3" recordCount="289" xr:uid="{668232C9-7ED9-4C32-BFFD-9163130A3B6A}">
  <cacheSource type="worksheet">
    <worksheetSource name="ECommerce_sales_cleaned"/>
  </cacheSource>
  <cacheFields count="42">
    <cacheField name="order_id" numFmtId="0">
      <sharedItems/>
    </cacheField>
    <cacheField name="order_date" numFmtId="14">
      <sharedItems containsSemiMixedTypes="0" containsNonDate="0" containsDate="1" containsString="0" minDate="2021-01-01T00:00:00" maxDate="2025-12-12T00:00:00" count="236">
        <d v="2021-01-01T00:00:00"/>
        <d v="2024-04-04T00:00:00"/>
        <d v="2022-07-12T00:00:00"/>
        <d v="2024-10-05T00:00:00"/>
        <d v="2025-05-02T00:00:00"/>
        <d v="2025-10-08T00:00:00"/>
        <d v="2024-05-09T00:00:00"/>
        <d v="2022-08-06T00:00:00"/>
        <d v="2022-12-08T00:00:00"/>
        <d v="2024-07-07T00:00:00"/>
        <d v="2021-06-06T00:00:00"/>
        <d v="2024-12-07T00:00:00"/>
        <d v="2021-04-04T00:00:00"/>
        <d v="2022-08-09T00:00:00"/>
        <d v="2021-05-11T00:00:00"/>
        <d v="2023-11-11T00:00:00"/>
        <d v="2022-05-07T00:00:00"/>
        <d v="2024-06-07T00:00:00"/>
        <d v="2025-08-09T00:00:00"/>
        <d v="2023-10-09T00:00:00"/>
        <d v="2023-03-02T00:00:00"/>
        <d v="2021-10-03T00:00:00"/>
        <d v="2021-05-02T00:00:00"/>
        <d v="2025-11-05T00:00:00"/>
        <d v="2021-02-07T00:00:00"/>
        <d v="2025-06-06T00:00:00"/>
        <d v="2024-12-08T00:00:00"/>
        <d v="2024-07-09T00:00:00"/>
        <d v="2022-02-02T00:00:00"/>
        <d v="2021-04-03T00:00:00"/>
        <d v="2021-07-09T00:00:00"/>
        <d v="2021-02-01T00:00:00"/>
        <d v="2021-11-08T00:00:00"/>
        <d v="2025-07-12T00:00:00"/>
        <d v="2025-01-01T00:00:00"/>
        <d v="2025-12-06T00:00:00"/>
        <d v="2021-08-04T00:00:00"/>
        <d v="2024-07-10T00:00:00"/>
        <d v="2023-03-08T00:00:00"/>
        <d v="2021-03-11T00:00:00"/>
        <d v="2025-04-02T00:00:00"/>
        <d v="2025-05-01T00:00:00"/>
        <d v="2021-12-11T00:00:00"/>
        <d v="2022-02-12T00:00:00"/>
        <d v="2024-09-11T00:00:00"/>
        <d v="2021-11-04T00:00:00"/>
        <d v="2025-05-08T00:00:00"/>
        <d v="2025-03-09T00:00:00"/>
        <d v="2024-01-07T00:00:00"/>
        <d v="2023-06-06T00:00:00"/>
        <d v="2024-09-04T00:00:00"/>
        <d v="2025-06-07T00:00:00"/>
        <d v="2024-11-08T00:00:00"/>
        <d v="2022-12-02T00:00:00"/>
        <d v="2025-01-04T00:00:00"/>
        <d v="2025-03-10T00:00:00"/>
        <d v="2025-08-01T00:00:00"/>
        <d v="2025-06-08T00:00:00"/>
        <d v="2023-09-01T00:00:00"/>
        <d v="2023-10-12T00:00:00"/>
        <d v="2025-09-10T00:00:00"/>
        <d v="2025-01-06T00:00:00"/>
        <d v="2021-09-12T00:00:00"/>
        <d v="2021-05-04T00:00:00"/>
        <d v="2022-02-06T00:00:00"/>
        <d v="2023-06-10T00:00:00"/>
        <d v="2023-08-08T00:00:00"/>
        <d v="2024-02-05T00:00:00"/>
        <d v="2025-03-07T00:00:00"/>
        <d v="2023-12-01T00:00:00"/>
        <d v="2024-03-09T00:00:00"/>
        <d v="2025-10-07T00:00:00"/>
        <d v="2024-11-01T00:00:00"/>
        <d v="2024-08-02T00:00:00"/>
        <d v="2024-04-12T00:00:00"/>
        <d v="2021-01-06T00:00:00"/>
        <d v="2022-01-11T00:00:00"/>
        <d v="2024-04-07T00:00:00"/>
        <d v="2024-12-10T00:00:00"/>
        <d v="2023-03-04T00:00:00"/>
        <d v="2023-07-10T00:00:00"/>
        <d v="2025-10-11T00:00:00"/>
        <d v="2023-11-05T00:00:00"/>
        <d v="2023-01-04T00:00:00"/>
        <d v="2024-09-08T00:00:00"/>
        <d v="2021-10-12T00:00:00"/>
        <d v="2021-02-09T00:00:00"/>
        <d v="2025-03-03T00:00:00"/>
        <d v="2025-12-07T00:00:00"/>
        <d v="2025-10-10T00:00:00"/>
        <d v="2023-04-08T00:00:00"/>
        <d v="2021-06-02T00:00:00"/>
        <d v="2025-07-07T00:00:00"/>
        <d v="2023-06-02T00:00:00"/>
        <d v="2022-12-06T00:00:00"/>
        <d v="2021-10-10T00:00:00"/>
        <d v="2025-06-04T00:00:00"/>
        <d v="2022-10-05T00:00:00"/>
        <d v="2023-04-11T00:00:00"/>
        <d v="2024-06-10T00:00:00"/>
        <d v="2021-08-08T00:00:00"/>
        <d v="2022-06-05T00:00:00"/>
        <d v="2022-04-03T00:00:00"/>
        <d v="2022-12-09T00:00:00"/>
        <d v="2022-07-05T00:00:00"/>
        <d v="2023-12-02T00:00:00"/>
        <d v="2021-02-04T00:00:00"/>
        <d v="2024-07-02T00:00:00"/>
        <d v="2021-01-03T00:00:00"/>
        <d v="2024-06-04T00:00:00"/>
        <d v="2025-02-11T00:00:00"/>
        <d v="2021-05-10T00:00:00"/>
        <d v="2024-12-03T00:00:00"/>
        <d v="2025-05-07T00:00:00"/>
        <d v="2025-01-11T00:00:00"/>
        <d v="2024-08-12T00:00:00"/>
        <d v="2021-12-05T00:00:00"/>
        <d v="2023-12-12T00:00:00"/>
        <d v="2022-10-09T00:00:00"/>
        <d v="2024-03-01T00:00:00"/>
        <d v="2021-11-09T00:00:00"/>
        <d v="2022-03-04T00:00:00"/>
        <d v="2025-05-03T00:00:00"/>
        <d v="2021-09-09T00:00:00"/>
        <d v="2023-06-05T00:00:00"/>
        <d v="2024-03-06T00:00:00"/>
        <d v="2025-09-05T00:00:00"/>
        <d v="2024-09-01T00:00:00"/>
        <d v="2023-11-09T00:00:00"/>
        <d v="2022-12-03T00:00:00"/>
        <d v="2021-03-06T00:00:00"/>
        <d v="2022-08-11T00:00:00"/>
        <d v="2023-10-03T00:00:00"/>
        <d v="2022-10-11T00:00:00"/>
        <d v="2025-02-01T00:00:00"/>
        <d v="2022-05-11T00:00:00"/>
        <d v="2025-04-12T00:00:00"/>
        <d v="2022-04-11T00:00:00"/>
        <d v="2021-02-11T00:00:00"/>
        <d v="2024-02-10T00:00:00"/>
        <d v="2023-09-11T00:00:00"/>
        <d v="2024-11-05T00:00:00"/>
        <d v="2024-02-06T00:00:00"/>
        <d v="2023-12-11T00:00:00"/>
        <d v="2025-09-04T00:00:00"/>
        <d v="2023-06-09T00:00:00"/>
        <d v="2025-12-02T00:00:00"/>
        <d v="2022-03-02T00:00:00"/>
        <d v="2025-01-09T00:00:00"/>
        <d v="2025-11-03T00:00:00"/>
        <d v="2025-07-11T00:00:00"/>
        <d v="2021-09-06T00:00:00"/>
        <d v="2025-12-10T00:00:00"/>
        <d v="2023-01-01T00:00:00"/>
        <d v="2025-07-05T00:00:00"/>
        <d v="2025-12-11T00:00:00"/>
        <d v="2022-09-05T00:00:00"/>
        <d v="2025-03-01T00:00:00"/>
        <d v="2024-10-10T00:00:00"/>
        <d v="2024-10-09T00:00:00"/>
        <d v="2025-11-06T00:00:00"/>
        <d v="2022-02-01T00:00:00"/>
        <d v="2023-11-12T00:00:00"/>
        <d v="2023-02-10T00:00:00"/>
        <d v="2025-08-10T00:00:00"/>
        <d v="2022-02-08T00:00:00"/>
        <d v="2024-10-06T00:00:00"/>
        <d v="2023-11-08T00:00:00"/>
        <d v="2021-10-11T00:00:00"/>
        <d v="2021-08-11T00:00:00"/>
        <d v="2025-10-12T00:00:00"/>
        <d v="2024-06-12T00:00:00"/>
        <d v="2021-01-08T00:00:00"/>
        <d v="2024-09-02T00:00:00"/>
        <d v="2022-11-01T00:00:00"/>
        <d v="2022-08-01T00:00:00"/>
        <d v="2021-11-12T00:00:00"/>
        <d v="2025-07-01T00:00:00"/>
        <d v="2023-07-11T00:00:00"/>
        <d v="2022-05-09T00:00:00"/>
        <d v="2021-10-06T00:00:00"/>
        <d v="2022-07-02T00:00:00"/>
        <d v="2023-12-05T00:00:00"/>
        <d v="2021-11-05T00:00:00"/>
        <d v="2022-03-12T00:00:00"/>
        <d v="2023-06-03T00:00:00"/>
        <d v="2024-05-11T00:00:00"/>
        <d v="2021-07-10T00:00:00"/>
        <d v="2023-02-09T00:00:00"/>
        <d v="2024-01-11T00:00:00"/>
        <d v="2024-04-08T00:00:00"/>
        <d v="2025-05-11T00:00:00"/>
        <d v="2025-02-03T00:00:00"/>
        <d v="2022-12-05T00:00:00"/>
        <d v="2023-05-10T00:00:00"/>
        <d v="2024-11-04T00:00:00"/>
        <d v="2023-08-10T00:00:00"/>
        <d v="2022-01-12T00:00:00"/>
        <d v="2023-01-09T00:00:00"/>
        <d v="2024-10-07T00:00:00"/>
        <d v="2024-03-11T00:00:00"/>
        <d v="2025-11-12T00:00:00"/>
        <d v="2021-07-03T00:00:00"/>
        <d v="2022-04-12T00:00:00"/>
        <d v="2021-10-08T00:00:00"/>
        <d v="2023-07-03T00:00:00"/>
        <d v="2025-08-05T00:00:00"/>
        <d v="2024-05-07T00:00:00"/>
        <d v="2023-05-07T00:00:00"/>
        <d v="2023-07-05T00:00:00"/>
        <d v="2022-09-07T00:00:00"/>
        <d v="2025-02-05T00:00:00"/>
        <d v="2022-08-05T00:00:00"/>
        <d v="2025-11-02T00:00:00"/>
        <d v="2023-03-09T00:00:00"/>
        <d v="2023-04-10T00:00:00"/>
        <d v="2025-04-05T00:00:00"/>
        <d v="2023-12-07T00:00:00"/>
        <d v="2021-07-08T00:00:00"/>
        <d v="2023-01-06T00:00:00"/>
        <d v="2021-08-06T00:00:00"/>
        <d v="2025-03-12T00:00:00"/>
        <d v="2022-10-02T00:00:00"/>
        <d v="2022-10-12T00:00:00"/>
        <d v="2022-10-08T00:00:00"/>
        <d v="2022-07-10T00:00:00"/>
        <d v="2022-11-09T00:00:00"/>
        <d v="2023-02-04T00:00:00"/>
        <d v="2023-01-11T00:00:00"/>
        <d v="2022-02-11T00:00:00"/>
        <d v="2021-04-07T00:00:00"/>
        <d v="2024-02-09T00:00:00"/>
        <d v="2021-12-12T00:00:00"/>
        <d v="2024-08-04T00:00:00"/>
        <d v="2025-07-09T00:00:00"/>
        <d v="2024-02-12T00:00:00"/>
      </sharedItems>
      <fieldGroup par="41"/>
    </cacheField>
    <cacheField name="order_time" numFmtId="164">
      <sharedItems containsSemiMixedTypes="0" containsNonDate="0" containsDate="1" containsString="0" minDate="1899-12-30T00:05:47" maxDate="1899-12-30T23:59:47"/>
    </cacheField>
    <cacheField name="order_status" numFmtId="0">
      <sharedItems/>
    </cacheField>
    <cacheField name="sales_channel" numFmtId="0">
      <sharedItems count="4">
        <s v="Mobile App"/>
        <s v="Website"/>
        <s v="Marketplace"/>
        <s v="Social Media"/>
      </sharedItems>
    </cacheField>
    <cacheField name="customer_id" numFmtId="0">
      <sharedItems count="289">
        <s v="CUST-014636"/>
        <s v="CUST-021943"/>
        <s v="CUST-005089"/>
        <s v="CUST-003006"/>
        <s v="CUST-012437"/>
        <s v="CUST-012724"/>
        <s v="CUST-008205"/>
        <s v="CUST-023616"/>
        <s v="CUST-011491"/>
        <s v="CUST-004379"/>
        <s v="CUST-015199"/>
        <s v="CUST-013749"/>
        <s v="CUST-006316"/>
        <s v="CUST-009742"/>
        <s v="CUST-022051"/>
        <s v="CUST-013073"/>
        <s v="CUST-001954"/>
        <s v="CUST-003748"/>
        <s v="CUST-009290"/>
        <s v="CUST-009417"/>
        <s v="CUST-007772"/>
        <s v="CUST-001250"/>
        <s v="CUST-021153"/>
        <s v="CUST-023193"/>
        <s v="CUST-016732"/>
        <s v="CUST-005475"/>
        <s v="CUST-024918"/>
        <s v="CUST-013968"/>
        <s v="CUST-022512"/>
        <s v="CUST-021507"/>
        <s v="CUST-020586"/>
        <s v="CUST-017206"/>
        <s v="CUST-016136"/>
        <s v="CUST-011397"/>
        <s v="CUST-001403"/>
        <s v="CUST-016320"/>
        <s v="CUST-008536"/>
        <s v="CUST-024021"/>
        <s v="CUST-008828"/>
        <s v="CUST-022074"/>
        <s v="CUST-006560"/>
        <s v="CUST-023150"/>
        <s v="CUST-013695"/>
        <s v="CUST-023979"/>
        <s v="CUST-010601"/>
        <s v="CUST-019352"/>
        <s v="CUST-005444"/>
        <s v="CUST-010164"/>
        <s v="CUST-018463"/>
        <s v="CUST-006269"/>
        <s v="CUST-015353"/>
        <s v="CUST-008111"/>
        <s v="CUST-000183"/>
        <s v="CUST-021415"/>
        <s v="CUST-017044"/>
        <s v="CUST-012267"/>
        <s v="CUST-020696"/>
        <s v="CUST-023540"/>
        <s v="CUST-000077"/>
        <s v="CUST-005590"/>
        <s v="CUST-015702"/>
        <s v="CUST-020654"/>
        <s v="CUST-023878"/>
        <s v="CUST-011101"/>
        <s v="CUST-015779"/>
        <s v="CUST-019497"/>
        <s v="CUST-013943"/>
        <s v="CUST-003600"/>
        <s v="CUST-006376"/>
        <s v="CUST-009841"/>
        <s v="CUST-000336"/>
        <s v="CUST-003430"/>
        <s v="CUST-020242"/>
        <s v="CUST-010655"/>
        <s v="CUST-011359"/>
        <s v="CUST-020482"/>
        <s v="CUST-003127"/>
        <s v="CUST-001413"/>
        <s v="CUST-012068"/>
        <s v="CUST-009965"/>
        <s v="CUST-018642"/>
        <s v="CUST-000337"/>
        <s v="CUST-010909"/>
        <s v="CUST-014138"/>
        <s v="CUST-001544"/>
        <s v="CUST-016560"/>
        <s v="CUST-022545"/>
        <s v="CUST-006781"/>
        <s v="CUST-002323"/>
        <s v="CUST-016257"/>
        <s v="CUST-005663"/>
        <s v="CUST-016506"/>
        <s v="CUST-019925"/>
        <s v="CUST-019397"/>
        <s v="CUST-002573"/>
        <s v="CUST-005500"/>
        <s v="CUST-016962"/>
        <s v="CUST-000414"/>
        <s v="CUST-019277"/>
        <s v="CUST-011925"/>
        <s v="CUST-006244"/>
        <s v="CUST-023071"/>
        <s v="CUST-007898"/>
        <s v="CUST-024142"/>
        <s v="CUST-021774"/>
        <s v="CUST-018781"/>
        <s v="CUST-011337"/>
        <s v="CUST-020597"/>
        <s v="CUST-003944"/>
        <s v="CUST-017209"/>
        <s v="CUST-020239"/>
        <s v="CUST-000346"/>
        <s v="CUST-014223"/>
        <s v="CUST-004562"/>
        <s v="CUST-013942"/>
        <s v="CUST-020036"/>
        <s v="CUST-001554"/>
        <s v="CUST-014687"/>
        <s v="CUST-003893"/>
        <s v="CUST-020399"/>
        <s v="CUST-022175"/>
        <s v="CUST-015177"/>
        <s v="CUST-003249"/>
        <s v="CUST-006518"/>
        <s v="CUST-022742"/>
        <s v="CUST-005261"/>
        <s v="CUST-008744"/>
        <s v="CUST-018877"/>
        <s v="CUST-011341"/>
        <s v="CUST-006385"/>
        <s v="CUST-019414"/>
        <s v="CUST-009273"/>
        <s v="CUST-005553"/>
        <s v="CUST-006738"/>
        <s v="CUST-018319"/>
        <s v="CUST-019989"/>
        <s v="CUST-014576"/>
        <s v="CUST-024323"/>
        <s v="CUST-019382"/>
        <s v="CUST-020650"/>
        <s v="CUST-013556"/>
        <s v="CUST-002119"/>
        <s v="CUST-012378"/>
        <s v="CUST-010844"/>
        <s v="CUST-009375"/>
        <s v="CUST-000617"/>
        <s v="CUST-000330"/>
        <s v="CUST-008894"/>
        <s v="CUST-014845"/>
        <s v="CUST-015589"/>
        <s v="CUST-020484"/>
        <s v="CUST-019602"/>
        <s v="CUST-023250"/>
        <s v="CUST-014267"/>
        <s v="CUST-023403"/>
        <s v="CUST-014050"/>
        <s v="CUST-021189"/>
        <s v="CUST-008700"/>
        <s v="CUST-014022"/>
        <s v="CUST-014149"/>
        <s v="CUST-019491"/>
        <s v="CUST-015793"/>
        <s v="CUST-001855"/>
        <s v="CUST-015696"/>
        <s v="CUST-019871"/>
        <s v="CUST-018322"/>
        <s v="CUST-024076"/>
        <s v="CUST-003911"/>
        <s v="CUST-009559"/>
        <s v="CUST-021273"/>
        <s v="CUST-008369"/>
        <s v="CUST-005724"/>
        <s v="CUST-020255"/>
        <s v="CUST-012766"/>
        <s v="CUST-008099"/>
        <s v="CUST-019410"/>
        <s v="CUST-011762"/>
        <s v="CUST-022480"/>
        <s v="CUST-000900"/>
        <s v="CUST-012906"/>
        <s v="CUST-006528"/>
        <s v="CUST-003651"/>
        <s v="CUST-017588"/>
        <s v="CUST-010124"/>
        <s v="CUST-006232"/>
        <s v="CUST-014229"/>
        <s v="CUST-022532"/>
        <s v="CUST-012548"/>
        <s v="CUST-012536"/>
        <s v="CUST-022260"/>
        <s v="CUST-012143"/>
        <s v="CUST-022788"/>
        <s v="CUST-008834"/>
        <s v="CUST-002909"/>
        <s v="CUST-007564"/>
        <s v="CUST-018194"/>
        <s v="CUST-019639"/>
        <s v="CUST-011167"/>
        <s v="CUST-000677"/>
        <s v="CUST-000767"/>
        <s v="CUST-006713"/>
        <s v="CUST-015845"/>
        <s v="CUST-020215"/>
        <s v="CUST-011720"/>
        <s v="CUST-024452"/>
        <s v="CUST-007566"/>
        <s v="CUST-016667"/>
        <s v="CUST-014914"/>
        <s v="CUST-003808"/>
        <s v="CUST-002938"/>
        <s v="CUST-004760"/>
        <s v="CUST-013579"/>
        <s v="CUST-000425"/>
        <s v="CUST-005917"/>
        <s v="CUST-010850"/>
        <s v="CUST-010879"/>
        <s v="CUST-016839"/>
        <s v="CUST-004404"/>
        <s v="CUST-013091"/>
        <s v="CUST-011830"/>
        <s v="CUST-000327"/>
        <s v="CUST-003476"/>
        <s v="CUST-002523"/>
        <s v="CUST-011110"/>
        <s v="CUST-020465"/>
        <s v="CUST-008270"/>
        <s v="CUST-007609"/>
        <s v="CUST-000780"/>
        <s v="CUST-021892"/>
        <s v="CUST-002096"/>
        <s v="CUST-014263"/>
        <s v="CUST-007843"/>
        <s v="CUST-010516"/>
        <s v="CUST-013615"/>
        <s v="CUST-019253"/>
        <s v="CUST-010252"/>
        <s v="CUST-017582"/>
        <s v="CUST-005582"/>
        <s v="CUST-000374"/>
        <s v="CUST-013319"/>
        <s v="CUST-021982"/>
        <s v="CUST-003522"/>
        <s v="CUST-013220"/>
        <s v="CUST-017487"/>
        <s v="CUST-022494"/>
        <s v="CUST-015000"/>
        <s v="CUST-023337"/>
        <s v="CUST-011583"/>
        <s v="CUST-006193"/>
        <s v="CUST-004089"/>
        <s v="CUST-011571"/>
        <s v="CUST-018680"/>
        <s v="CUST-012218"/>
        <s v="CUST-006692"/>
        <s v="CUST-007297"/>
        <s v="CUST-004436"/>
        <s v="CUST-023285"/>
        <s v="CUST-017475"/>
        <s v="CUST-020461"/>
        <s v="CUST-001865"/>
        <s v="CUST-019215"/>
        <s v="CUST-008328"/>
        <s v="CUST-015757"/>
        <s v="CUST-001101"/>
        <s v="CUST-011651"/>
        <s v="CUST-019660"/>
        <s v="CUST-018965"/>
        <s v="CUST-012380"/>
        <s v="CUST-000934"/>
        <s v="CUST-002642"/>
        <s v="CUST-000128"/>
        <s v="CUST-015908"/>
        <s v="CUST-011947"/>
        <s v="CUST-003435"/>
        <s v="CUST-020657"/>
        <s v="CUST-023131"/>
        <s v="CUST-001218"/>
        <s v="CUST-010065"/>
        <s v="CUST-012190"/>
        <s v="CUST-012177"/>
        <s v="CUST-000977"/>
        <s v="CUST-013500"/>
        <s v="CUST-010415"/>
        <s v="CUST-015809"/>
        <s v="CUST-024188"/>
        <s v="CUST-020807"/>
        <s v="CUST-010153"/>
        <s v="CUST-001299"/>
        <s v="CUST-020557"/>
      </sharedItems>
    </cacheField>
    <cacheField name="customer_name" numFmtId="0">
      <sharedItems/>
    </cacheField>
    <cacheField name="customer_age" numFmtId="0">
      <sharedItems containsSemiMixedTypes="0" containsString="0" containsNumber="1" containsInteger="1" minValue="18" maxValue="74"/>
    </cacheField>
    <cacheField name="gender" numFmtId="0">
      <sharedItems/>
    </cacheField>
    <cacheField name="customer_segment" numFmtId="0">
      <sharedItems count="4">
        <s v="Consumer"/>
        <s v="Premium"/>
        <s v="VIP"/>
        <s v="Business"/>
      </sharedItems>
    </cacheField>
    <cacheField name="customer_type" numFmtId="0">
      <sharedItems/>
    </cacheField>
    <cacheField name="customer_city" numFmtId="0">
      <sharedItems count="287">
        <s v="Danielsfort"/>
        <s v="Anthonyville"/>
        <s v="West Melissa"/>
        <s v="Woodwardtown"/>
        <s v="Starkstad"/>
        <s v="Port Wendy"/>
        <s v="East Nicholas"/>
        <s v="Lopezton"/>
        <s v="Millerton"/>
        <s v="Shaneport"/>
        <s v="Lake Lisa"/>
        <s v="Courtneyville"/>
        <s v="New Keith"/>
        <s v="New Jamieburgh"/>
        <s v="North Doris"/>
        <s v="New Christinafurt"/>
        <s v="Hoffmanport"/>
        <s v="North Debbieburgh"/>
        <s v="Vanessafurt"/>
        <s v="Port Christina"/>
        <s v="West Davidton"/>
        <s v="Bakertown"/>
        <s v="Jacobchester"/>
        <s v="West Denisetown"/>
        <s v="Cookhaven"/>
        <s v="Henryview"/>
        <s v="Toddville"/>
        <s v="New Raymond"/>
        <s v="Parkshaven"/>
        <s v="Julieshire"/>
        <s v="Angelaland"/>
        <s v="Pereztown"/>
        <s v="West Johnville"/>
        <s v="Lake Henry"/>
        <s v="Pottsview"/>
        <s v="Schmidttown"/>
        <s v="Port Alejandro"/>
        <s v="Josehaven"/>
        <s v="Hunterhaven"/>
        <s v="West Bailey"/>
        <s v="South Lindashire"/>
        <s v="Rebeccafurt"/>
        <s v="East Leslie"/>
        <s v="Port Rhondaborough"/>
        <s v="Jonesfurt"/>
        <s v="South Kevinfurt"/>
        <s v="Brittanystad"/>
        <s v="Port Kimberlyport"/>
        <s v="Bradfordburgh"/>
        <s v="Costaland"/>
        <s v="South Nicholasville"/>
        <s v="Lake Pamelachester"/>
        <s v="Annaport"/>
        <s v="Johnsonfort"/>
        <s v="South Thomas"/>
        <s v="West Jennifertown"/>
        <s v="Port David"/>
        <s v="Melissatown"/>
        <s v="South Paul"/>
        <s v="West Patriciabury"/>
        <s v="Duffystad"/>
        <s v="New Johnberg"/>
        <s v="New Lori"/>
        <s v="South Williemouth"/>
        <s v="Evansbury"/>
        <s v="North Derek"/>
        <s v="Cohenborough"/>
        <s v="South Gina"/>
        <s v="Acevedohaven"/>
        <s v="New Michellefurt"/>
        <s v="Jameshaven"/>
        <s v="Baileyfort"/>
        <s v="New Karenview"/>
        <s v="South Lisa"/>
        <s v="Hendersonchester"/>
        <s v="Lake Randall"/>
        <s v="East Joe"/>
        <s v="West Shawnaborough"/>
        <s v="New Michaeltown"/>
        <s v="Mackenzieside"/>
        <s v="West Maryton"/>
        <s v="West Johntown"/>
        <s v="Tonyaville"/>
        <s v="Waltersbury"/>
        <s v="North Robert"/>
        <s v="Lake Christophertown"/>
        <s v="East Racheltown"/>
        <s v="Parkstown"/>
        <s v="Port Kimberlytown"/>
        <s v="West Jessicaview"/>
        <s v="Smithfort"/>
        <s v="East Jenniferhaven"/>
        <s v="South Melissa"/>
        <s v="New Jacob"/>
        <s v="West Claudia"/>
        <s v="South Robert"/>
        <s v="New Christopherburgh"/>
        <s v="East Morgan"/>
        <s v="East Markberg"/>
        <s v="Port Emilyfort"/>
        <s v="Ronaldville"/>
        <s v="Cobbville"/>
        <s v="Port Williamberg"/>
        <s v="Wallfurt"/>
        <s v="South Wesleyview"/>
        <s v="Lake Elizabethland"/>
        <s v="Rosariomouth"/>
        <s v="Wilsonport"/>
        <s v="New Gregory"/>
        <s v="Lake Michael"/>
        <s v="New Joshua"/>
        <s v="Port Leslie"/>
        <s v="Lake Brettside"/>
        <s v="Feliciaview"/>
        <s v="East Nataliebury"/>
        <s v="New Dalton"/>
        <s v="Lake Katelyn"/>
        <s v="Ortizstad"/>
        <s v="New James"/>
        <s v="Hardinside"/>
        <s v="Wilkinsfort"/>
        <s v="Mendozatown"/>
        <s v="Littleview"/>
        <s v="South Jonathan"/>
        <s v="Lake Erinchester"/>
        <s v="North Annhaven"/>
        <s v="Port Heathertown"/>
        <s v="Taylorbury"/>
        <s v="East Tamaratown"/>
        <s v="Powellland"/>
        <s v="West Michaelstad"/>
        <s v="Chandlerberg"/>
        <s v="Austinfurt"/>
        <s v="Port Jeffrey"/>
        <s v="Patriciaport"/>
        <s v="North Chrisside"/>
        <s v="West Summerhaven"/>
        <s v="Lisaborough"/>
        <s v="Ryanside"/>
        <s v="Port Kennethfort"/>
        <s v="Jasonstad"/>
        <s v="Grahamville"/>
        <s v="Anitaberg"/>
        <s v="Port Bradberg"/>
        <s v="Port Kevin"/>
        <s v="Justinchester"/>
        <s v="Kimfurt"/>
        <s v="Sethburgh"/>
        <s v="Oliverport"/>
        <s v="Brianville"/>
        <s v="Zamoraside"/>
        <s v="Lake Paula"/>
        <s v="Webbfort"/>
        <s v="Katrinatown"/>
        <s v="Dennishaven"/>
        <s v="East Donnaburgh"/>
        <s v="Lake Andrefort"/>
        <s v="East Kellystad"/>
        <s v="Danieltown"/>
        <s v="Hendrixstad"/>
        <s v="Kingbury"/>
        <s v="Thomasville"/>
        <s v="Keithton"/>
        <s v="Port Samantha"/>
        <s v="Lake Meghantown"/>
        <s v="Port Judy"/>
        <s v="Kevinchester"/>
        <s v="New Mike"/>
        <s v="Danielleshire"/>
        <s v="Doughertytown"/>
        <s v="Robertsshire"/>
        <s v="West Jefferyberg"/>
        <s v="Markborough"/>
        <s v="Barryfurt"/>
        <s v="West Joshua"/>
        <s v="Deniseside"/>
        <s v="New Gordon"/>
        <s v="Farmerside"/>
        <s v="North Christopherburgh"/>
        <s v="Jamesstad"/>
        <s v="East Andrewborough"/>
        <s v="East Paul"/>
        <s v="Markhaven"/>
        <s v="New Randyburgh"/>
        <s v="Bellmouth"/>
        <s v="North Brettshire"/>
        <s v="West Daniel"/>
        <s v="East Robert"/>
        <s v="Jonathanshire"/>
        <s v="New Angelton"/>
        <s v="Meganburgh"/>
        <s v="East Michaelbury"/>
        <s v="Kirbyburgh"/>
        <s v="Port Margaretshire"/>
        <s v="Port Carlos"/>
        <s v="Joannafort"/>
        <s v="East Lisamouth"/>
        <s v="Biancashire"/>
        <s v="Duffyshire"/>
        <s v="Aaronberg"/>
        <s v="Sawyerstad"/>
        <s v="Browningfurt"/>
        <s v="Wilkinsburgh"/>
        <s v="Port Kellifurt"/>
        <s v="Summerstown"/>
        <s v="Heatherville"/>
        <s v="Jamesville"/>
        <s v="West Kellytown"/>
        <s v="Diazchester"/>
        <s v="North Cathy"/>
        <s v="Robertchester"/>
        <s v="Teresaport"/>
        <s v="North Susan"/>
        <s v="Moralesstad"/>
        <s v="East Gilbert"/>
        <s v="South Kelliland"/>
        <s v="Chapmanview"/>
        <s v="Matthewburgh"/>
        <s v="East Ronaldshire"/>
        <s v="Cynthiafurt"/>
        <s v="South Martintown"/>
        <s v="Taylorstad"/>
        <s v="Gutierrezview"/>
        <s v="Nguyenside"/>
        <s v="West Matthewland"/>
        <s v="West Geoffrey"/>
        <s v="North Jasonton"/>
        <s v="Williamsshire"/>
        <s v="Peggytown"/>
        <s v="Lake Cindy"/>
        <s v="South Tricia"/>
        <s v="South Judy"/>
        <s v="Chavezshire"/>
        <s v="Terryhaven"/>
        <s v="West Angela"/>
        <s v="Lake Michelle"/>
        <s v="Jacksontown"/>
        <s v="Port Mark"/>
        <s v="Summersfort"/>
        <s v="Ortegafort"/>
        <s v="Michaelstad"/>
        <s v="Kennedyshire"/>
        <s v="Lake Teresaside"/>
        <s v="Anthonyside"/>
        <s v="West Ellenchester"/>
        <s v="Newmanchester"/>
        <s v="Lake Amy"/>
        <s v="Cervantesview"/>
        <s v="South Paula"/>
        <s v="North Brianburgh"/>
        <s v="Paulshire"/>
        <s v="South Fernandochester"/>
        <s v="Candicehaven"/>
        <s v="North Nicholas"/>
        <s v="East Laurieshire"/>
        <s v="Kellyport"/>
        <s v="New Amymouth"/>
        <s v="East Frank"/>
        <s v="Lake Cynthia"/>
        <s v="Adrianland"/>
        <s v="Brendaview"/>
        <s v="Jonesview"/>
        <s v="Christinaberg"/>
        <s v="West Faithchester"/>
        <s v="North Christopherville"/>
        <s v="Lopeztown"/>
        <s v="Robertburgh"/>
        <s v="Patriciaside"/>
        <s v="New Stacy"/>
        <s v="Cooperchester"/>
        <s v="West Larrymouth"/>
        <s v="Mooreburgh"/>
        <s v="North Bradleyville"/>
        <s v="North Kimberly"/>
        <s v="New Valeriefort"/>
        <s v="Chantown"/>
        <s v="West Jaimeside"/>
        <s v="Jenniferville"/>
        <s v="Mendozaland"/>
        <s v="Lake Carriemouth"/>
        <s v="South Johnborough"/>
        <s v="Holmesside"/>
        <s v="Williamburgh"/>
        <s v="Flowershaven"/>
        <s v="Reyesfort"/>
        <s v="Wilsonmouth"/>
        <s v="Lake Anthonychester"/>
      </sharedItems>
    </cacheField>
    <cacheField name="customer_state" numFmtId="0">
      <sharedItems/>
    </cacheField>
    <cacheField name="customer_country" numFmtId="0">
      <sharedItems/>
    </cacheField>
    <cacheField name="region" numFmtId="0">
      <sharedItems count="5">
        <s v="East"/>
        <s v="South"/>
        <s v="Central"/>
        <s v="West"/>
        <s v="North"/>
      </sharedItems>
    </cacheField>
    <cacheField name="customer_postal_code" numFmtId="0">
      <sharedItems containsSemiMixedTypes="0" containsString="0" containsNumber="1" containsInteger="1" minValue="617" maxValue="99904"/>
    </cacheField>
    <cacheField name="payment_method" numFmtId="0">
      <sharedItems count="7">
        <s v="Cash on Delivery"/>
        <s v="Buy Now Pay Later"/>
        <s v="Digital Wallet"/>
        <s v="Debit Card"/>
        <s v="PayPal"/>
        <s v="Credit Card"/>
        <s v="Bank Transfer"/>
      </sharedItems>
    </cacheField>
    <cacheField name="payment_status" numFmtId="0">
      <sharedItems/>
    </cacheField>
    <cacheField name="currency" numFmtId="0">
      <sharedItems/>
    </cacheField>
    <cacheField name="shipping_method" numFmtId="0">
      <sharedItems/>
    </cacheField>
    <cacheField name="warehouse" numFmtId="0">
      <sharedItems/>
    </cacheField>
    <cacheField name="delivery_status" numFmtId="0">
      <sharedItems/>
    </cacheField>
    <cacheField name="return_status" numFmtId="0">
      <sharedItems/>
    </cacheField>
    <cacheField name="return_reason" numFmtId="0">
      <sharedItems/>
    </cacheField>
    <cacheField name="marketing_channel" numFmtId="0">
      <sharedItems/>
    </cacheField>
    <cacheField name="campaign_name" numFmtId="0">
      <sharedItems/>
    </cacheField>
    <cacheField name="coupon_code" numFmtId="0">
      <sharedItems/>
    </cacheField>
    <cacheField name="loyalty_points_earned" numFmtId="0">
      <sharedItems containsSemiMixedTypes="0" containsString="0" containsNumber="1" containsInteger="1" minValue="0" maxValue="0"/>
    </cacheField>
    <cacheField name="loyalty_points_redeemed" numFmtId="0">
      <sharedItems containsSemiMixedTypes="0" containsString="0" containsNumber="1" containsInteger="1" minValue="0" maxValue="0"/>
    </cacheField>
    <cacheField name="quantity" numFmtId="0">
      <sharedItems containsSemiMixedTypes="0" containsString="0" containsNumber="1" containsInteger="1" minValue="1" maxValue="15" count="15">
        <n v="5"/>
        <n v="9"/>
        <n v="8"/>
        <n v="7"/>
        <n v="6"/>
        <n v="3"/>
        <n v="1"/>
        <n v="4"/>
        <n v="11"/>
        <n v="2"/>
        <n v="10"/>
        <n v="14"/>
        <n v="12"/>
        <n v="13"/>
        <n v="15"/>
      </sharedItems>
    </cacheField>
    <cacheField name="gross_sales" numFmtId="0">
      <sharedItems containsSemiMixedTypes="0" containsString="0" containsNumber="1" minValue="12.75" maxValue="9012.6"/>
    </cacheField>
    <cacheField name="discount_amount" numFmtId="0">
      <sharedItems containsSemiMixedTypes="0" containsString="0" containsNumber="1" containsInteger="1" minValue="0" maxValue="0"/>
    </cacheField>
    <cacheField name="tax_amount" numFmtId="0">
      <sharedItems containsSemiMixedTypes="0" containsString="0" containsNumber="1" minValue="0.89" maxValue="1043.93"/>
    </cacheField>
    <cacheField name="shipping_cost" numFmtId="0">
      <sharedItems containsSemiMixedTypes="0" containsString="0" containsNumber="1" minValue="0" maxValue="78.97"/>
    </cacheField>
    <cacheField name="net_sales" numFmtId="0">
      <sharedItems containsSemiMixedTypes="0" containsString="0" containsNumber="1" minValue="25.31" maxValue="9679.0499999999993"/>
    </cacheField>
    <cacheField name="product_cost" numFmtId="0">
      <sharedItems containsSemiMixedTypes="0" containsString="0" containsNumber="1" minValue="4.1399999999999997" maxValue="5551"/>
    </cacheField>
    <cacheField name="profit" numFmtId="0">
      <sharedItems containsSemiMixedTypes="0" containsString="0" containsNumber="1" minValue="9.5" maxValue="4092.48"/>
    </cacheField>
    <cacheField name="profit_margin_percentage" numFmtId="0">
      <sharedItems containsSemiMixedTypes="0" containsString="0" containsNumber="1" minValue="30.34" maxValue="71.349999999999994"/>
    </cacheField>
    <cacheField name="customer_lifetime_value" numFmtId="0">
      <sharedItems containsSemiMixedTypes="0" containsString="0" containsNumber="1" minValue="453.85" maxValue="24132.42"/>
    </cacheField>
    <cacheField name="is_repeat_customer" numFmtId="0">
      <sharedItems/>
    </cacheField>
    <cacheField name="customer_order_count" numFmtId="0">
      <sharedItems containsSemiMixedTypes="0" containsString="0" containsNumber="1" containsInteger="1" minValue="1" maxValue="20"/>
    </cacheField>
    <cacheField name="Years (order_date)" numFmtId="0" databaseField="0">
      <fieldGroup base="1">
        <rangePr groupBy="years" startDate="2021-01-01T00:00:00" endDate="2025-12-12T00:00:00"/>
        <groupItems count="7">
          <s v="&lt;01-01-21"/>
          <s v="2021"/>
          <s v="2022"/>
          <s v="2023"/>
          <s v="2024"/>
          <s v="2025"/>
          <s v="&gt;12-12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s v="ORD-171742"/>
    <x v="0"/>
    <d v="1899-12-30T07:54:19"/>
    <s v="Returned"/>
    <x v="0"/>
    <x v="0"/>
    <s v="Anthony Adams"/>
    <n v="18"/>
    <s v="Male"/>
    <x v="0"/>
    <s v="Loyal"/>
    <x v="0"/>
    <s v="Pennsylvania"/>
    <s v="USA"/>
    <x v="0"/>
    <n v="64650"/>
    <x v="0"/>
    <s v="Refunded"/>
    <s v="USD"/>
    <s v="Economy"/>
    <s v="WH-017"/>
    <s v="Cancelled"/>
    <s v="Returned"/>
    <s v="Other"/>
    <s v="Google Ads"/>
    <s v="Google_Shopping"/>
    <s v="SAVE30"/>
    <n v="0"/>
    <n v="0"/>
    <x v="0"/>
    <n v="2927.1"/>
    <n v="0"/>
    <n v="204.89"/>
    <n v="7.06"/>
    <n v="3139.05"/>
    <n v="1216.51"/>
    <n v="1915.48"/>
    <n v="61.02"/>
    <n v="5038.97"/>
    <b v="1"/>
    <n v="5"/>
  </r>
  <r>
    <s v="ORD-776821"/>
    <x v="1"/>
    <d v="1899-12-30T09:00:37"/>
    <s v="Returned"/>
    <x v="0"/>
    <x v="1"/>
    <s v="Amy Bates"/>
    <n v="68"/>
    <s v="Male"/>
    <x v="0"/>
    <s v="Loyal"/>
    <x v="1"/>
    <s v="Florida"/>
    <s v="USA"/>
    <x v="1"/>
    <n v="74533"/>
    <x v="1"/>
    <s v="Refunded"/>
    <s v="USD"/>
    <s v="Express"/>
    <s v="WH-006"/>
    <s v="Cancelled"/>
    <s v="Returned"/>
    <s v="Wrong Product"/>
    <s v="Facebook Ads"/>
    <s v="FB_Retargeting"/>
    <s v="SAVE30"/>
    <n v="0"/>
    <n v="0"/>
    <x v="1"/>
    <n v="1843.27"/>
    <n v="0"/>
    <n v="129.03"/>
    <n v="32.11"/>
    <n v="2004.41"/>
    <n v="856.34"/>
    <n v="1115.96"/>
    <n v="55.68"/>
    <n v="11360.09"/>
    <b v="1"/>
    <n v="6"/>
  </r>
  <r>
    <s v="ORD-537389"/>
    <x v="2"/>
    <d v="1899-12-30T11:11:45"/>
    <s v="Returned"/>
    <x v="1"/>
    <x v="2"/>
    <s v="Julie Bailey"/>
    <n v="31"/>
    <s v="Female"/>
    <x v="0"/>
    <s v="Loyal"/>
    <x v="2"/>
    <s v="Pennsylvania"/>
    <s v="USA"/>
    <x v="0"/>
    <n v="33628"/>
    <x v="2"/>
    <s v="Refunded"/>
    <s v="USD"/>
    <s v="Express"/>
    <s v="WH-012"/>
    <s v="Cancelled"/>
    <s v="Returned"/>
    <s v="Product Not as Expected"/>
    <s v="Affiliate"/>
    <s v="Affiliate_Partner"/>
    <s v="SAVE28"/>
    <n v="0"/>
    <n v="0"/>
    <x v="2"/>
    <n v="736.79"/>
    <n v="0"/>
    <n v="51.58"/>
    <n v="36.67"/>
    <n v="825.04"/>
    <n v="337.2"/>
    <n v="451.17"/>
    <n v="54.68"/>
    <n v="4507.8100000000004"/>
    <b v="1"/>
    <n v="7"/>
  </r>
  <r>
    <s v="ORD-974235"/>
    <x v="3"/>
    <d v="1899-12-30T17:54:42"/>
    <s v="Returned"/>
    <x v="2"/>
    <x v="3"/>
    <s v="William Potter"/>
    <n v="20"/>
    <s v="Male"/>
    <x v="0"/>
    <s v="Returning"/>
    <x v="3"/>
    <s v="Ohio"/>
    <s v="USA"/>
    <x v="2"/>
    <n v="88179"/>
    <x v="3"/>
    <s v="Refunded"/>
    <s v="USD"/>
    <s v="Express"/>
    <s v="WH-005"/>
    <s v="Cancelled"/>
    <s v="Returned"/>
    <s v="Late Delivery"/>
    <s v="Google Ads"/>
    <s v="Google_Search_Q1"/>
    <s v="SAVE31"/>
    <n v="0"/>
    <n v="0"/>
    <x v="3"/>
    <n v="683.24"/>
    <n v="0"/>
    <n v="47.82"/>
    <n v="28.13"/>
    <n v="759.19"/>
    <n v="328.62"/>
    <n v="402.44"/>
    <n v="53.01"/>
    <n v="6327.22"/>
    <b v="1"/>
    <n v="3"/>
  </r>
  <r>
    <s v="ORD-134753"/>
    <x v="4"/>
    <d v="1899-12-30T08:09:31"/>
    <s v="Returned"/>
    <x v="0"/>
    <x v="4"/>
    <s v="Peggy Parks"/>
    <n v="47"/>
    <s v="Female"/>
    <x v="1"/>
    <s v="Loyal"/>
    <x v="4"/>
    <s v="Texas"/>
    <s v="USA"/>
    <x v="1"/>
    <n v="28756"/>
    <x v="1"/>
    <s v="Refunded"/>
    <s v="USD"/>
    <s v="Economy"/>
    <s v="WH-008"/>
    <s v="Cancelled"/>
    <s v="Returned"/>
    <s v="Damaged Product"/>
    <s v="Google Ads"/>
    <s v="Google_Shopping"/>
    <s v="SAVE35"/>
    <n v="0"/>
    <n v="0"/>
    <x v="4"/>
    <n v="1930.52"/>
    <n v="0"/>
    <n v="135.13999999999999"/>
    <n v="0.9"/>
    <n v="2066.56"/>
    <n v="1032.08"/>
    <n v="1033.58"/>
    <n v="50.01"/>
    <n v="10889.66"/>
    <b v="1"/>
    <n v="6"/>
  </r>
  <r>
    <s v="ORD-922214"/>
    <x v="5"/>
    <d v="1899-12-30T22:07:53"/>
    <s v="Returned"/>
    <x v="0"/>
    <x v="5"/>
    <s v="Melissa Cruz"/>
    <n v="19"/>
    <s v="Male"/>
    <x v="1"/>
    <s v="Loyal"/>
    <x v="5"/>
    <s v="Hesse"/>
    <s v="Germany"/>
    <x v="2"/>
    <n v="76014"/>
    <x v="0"/>
    <s v="Refunded"/>
    <s v="EUR"/>
    <s v="Express"/>
    <s v="WH-004"/>
    <s v="Cancelled"/>
    <s v="Returned"/>
    <s v="Wrong Product"/>
    <s v="Google Ads"/>
    <s v="Google_Shopping"/>
    <s v="SAVE12"/>
    <n v="0"/>
    <n v="0"/>
    <x v="3"/>
    <n v="1341.26"/>
    <n v="0"/>
    <n v="254.84"/>
    <n v="20.72"/>
    <n v="1616.82"/>
    <n v="586.85"/>
    <n v="1009.25"/>
    <n v="62.42"/>
    <n v="6046.25"/>
    <b v="1"/>
    <n v="4"/>
  </r>
  <r>
    <s v="ORD-101555"/>
    <x v="6"/>
    <d v="1899-12-30T15:33:27"/>
    <s v="Returned"/>
    <x v="0"/>
    <x v="6"/>
    <s v="Gregory Clark"/>
    <n v="58"/>
    <s v="Male"/>
    <x v="1"/>
    <s v="Loyal"/>
    <x v="6"/>
    <s v="Georgia"/>
    <s v="USA"/>
    <x v="1"/>
    <n v="53278"/>
    <x v="2"/>
    <s v="Refunded"/>
    <s v="USD"/>
    <s v="Same Day"/>
    <s v="WH-004"/>
    <s v="Cancelled"/>
    <s v="Returned"/>
    <s v="Defective Product"/>
    <s v="Facebook Ads"/>
    <s v="FB_Retargeting"/>
    <s v="SAVE37"/>
    <n v="0"/>
    <n v="0"/>
    <x v="4"/>
    <n v="2233.46"/>
    <n v="0"/>
    <n v="156.35"/>
    <n v="32.64"/>
    <n v="2422.4499999999998"/>
    <n v="1301.9100000000001"/>
    <n v="1087.9000000000001"/>
    <n v="44.91"/>
    <n v="6084.82"/>
    <b v="1"/>
    <n v="5"/>
  </r>
  <r>
    <s v="ORD-983203"/>
    <x v="7"/>
    <d v="1899-12-30T04:49:07"/>
    <s v="Returned"/>
    <x v="1"/>
    <x v="7"/>
    <s v="Lindsay Horn"/>
    <n v="33"/>
    <s v="Male"/>
    <x v="0"/>
    <s v="Loyal"/>
    <x v="7"/>
    <s v="Ohio"/>
    <s v="USA"/>
    <x v="2"/>
    <n v="52857"/>
    <x v="1"/>
    <s v="Refunded"/>
    <s v="USD"/>
    <s v="Standard"/>
    <s v="WH-005"/>
    <s v="Cancelled"/>
    <s v="Returned"/>
    <s v="Late Delivery"/>
    <s v="Facebook Ads"/>
    <s v="FB_Dynamic"/>
    <s v="SAVE48"/>
    <n v="0"/>
    <n v="0"/>
    <x v="4"/>
    <n v="529.91999999999996"/>
    <n v="0"/>
    <n v="37.090000000000003"/>
    <n v="12.01"/>
    <n v="579.02"/>
    <n v="222.18"/>
    <n v="344.83"/>
    <n v="59.55"/>
    <n v="7677.95"/>
    <b v="1"/>
    <n v="8"/>
  </r>
  <r>
    <s v="ORD-261882"/>
    <x v="8"/>
    <d v="1899-12-30T10:44:17"/>
    <s v="Returned"/>
    <x v="0"/>
    <x v="8"/>
    <s v="Cindy Barajas"/>
    <n v="62"/>
    <s v="Male"/>
    <x v="1"/>
    <s v="Loyal"/>
    <x v="8"/>
    <s v="North Carolina"/>
    <s v="USA"/>
    <x v="1"/>
    <n v="80895"/>
    <x v="4"/>
    <s v="Refunded"/>
    <s v="USD"/>
    <s v="Standard"/>
    <s v="WH-014"/>
    <s v="Cancelled"/>
    <s v="Returned"/>
    <s v="Product Not as Expected"/>
    <s v="Facebook Ads"/>
    <s v="FB_Retargeting"/>
    <s v="SAVE35"/>
    <n v="0"/>
    <n v="0"/>
    <x v="5"/>
    <n v="1102.05"/>
    <n v="0"/>
    <n v="77.14"/>
    <n v="3.48"/>
    <n v="1182.67"/>
    <n v="683.07"/>
    <n v="496.12"/>
    <n v="41.95"/>
    <n v="4548.2"/>
    <b v="1"/>
    <n v="5"/>
  </r>
  <r>
    <s v="ORD-508563"/>
    <x v="9"/>
    <d v="1899-12-30T03:27:18"/>
    <s v="Returned"/>
    <x v="0"/>
    <x v="9"/>
    <s v="Tiffany Bishop"/>
    <n v="39"/>
    <s v="Male"/>
    <x v="1"/>
    <s v="Loyal"/>
    <x v="9"/>
    <s v="Pennsylvania"/>
    <s v="USA"/>
    <x v="0"/>
    <n v="21942"/>
    <x v="5"/>
    <s v="Refunded"/>
    <s v="USD"/>
    <s v="Standard"/>
    <s v="WH-010"/>
    <s v="Cancelled"/>
    <s v="Returned"/>
    <s v="Damaged Product"/>
    <s v="Organic Search"/>
    <s v="Default_Campaign"/>
    <s v="SAVE27"/>
    <n v="0"/>
    <n v="0"/>
    <x v="6"/>
    <n v="262.5"/>
    <n v="0"/>
    <n v="18.38"/>
    <n v="3.03"/>
    <n v="283.91000000000003"/>
    <n v="82.31"/>
    <n v="198.57"/>
    <n v="69.94"/>
    <n v="7406.16"/>
    <b v="1"/>
    <n v="10"/>
  </r>
  <r>
    <s v="ORD-586057"/>
    <x v="10"/>
    <d v="1899-12-30T17:05:28"/>
    <s v="Returned"/>
    <x v="1"/>
    <x v="10"/>
    <s v="Tara Johnson"/>
    <n v="40"/>
    <s v="Non-Binary"/>
    <x v="2"/>
    <s v="Loyal"/>
    <x v="10"/>
    <s v="North Carolina"/>
    <s v="USA"/>
    <x v="1"/>
    <n v="66726"/>
    <x v="2"/>
    <s v="Refunded"/>
    <s v="USD"/>
    <s v="Standard"/>
    <s v="WH-007"/>
    <s v="Cancelled"/>
    <s v="Returned"/>
    <s v="Changed Mind"/>
    <s v="Organic Search"/>
    <s v="Default_Campaign"/>
    <s v="SAVE27"/>
    <n v="0"/>
    <n v="0"/>
    <x v="1"/>
    <n v="2842.11"/>
    <n v="0"/>
    <n v="198.95"/>
    <n v="7.07"/>
    <n v="3048.13"/>
    <n v="1530.32"/>
    <n v="1510.74"/>
    <n v="49.56"/>
    <n v="14571.03"/>
    <b v="1"/>
    <n v="11"/>
  </r>
  <r>
    <s v="ORD-993696"/>
    <x v="11"/>
    <d v="1899-12-30T22:00:55"/>
    <s v="Returned"/>
    <x v="0"/>
    <x v="11"/>
    <s v="Gabrielle Morrison"/>
    <n v="55"/>
    <s v="Female"/>
    <x v="0"/>
    <s v="Loyal"/>
    <x v="11"/>
    <s v="Western Australia"/>
    <s v="Australia"/>
    <x v="3"/>
    <n v="22768"/>
    <x v="1"/>
    <s v="Refunded"/>
    <s v="AUD"/>
    <s v="Same Day"/>
    <s v="WH-012"/>
    <s v="Cancelled"/>
    <s v="Returned"/>
    <s v="Product Not as Expected"/>
    <s v="Direct"/>
    <s v="Default_Campaign"/>
    <s v="SAVE10"/>
    <n v="0"/>
    <n v="0"/>
    <x v="7"/>
    <n v="469.93"/>
    <n v="0"/>
    <n v="46.99"/>
    <n v="53.81"/>
    <n v="570.73"/>
    <n v="196.13"/>
    <n v="320.79000000000002"/>
    <n v="56.21"/>
    <n v="5511.83"/>
    <b v="1"/>
    <n v="5"/>
  </r>
  <r>
    <s v="ORD-914792"/>
    <x v="12"/>
    <d v="1899-12-30T21:09:39"/>
    <s v="Returned"/>
    <x v="0"/>
    <x v="12"/>
    <s v="Jasmine Goodwin"/>
    <n v="36"/>
    <s v="Female"/>
    <x v="1"/>
    <s v="Loyal"/>
    <x v="12"/>
    <s v="California"/>
    <s v="USA"/>
    <x v="3"/>
    <n v="80074"/>
    <x v="5"/>
    <s v="Refunded"/>
    <s v="USD"/>
    <s v="Economy"/>
    <s v="WH-019"/>
    <s v="Cancelled"/>
    <s v="Returned"/>
    <s v="Product Not as Expected"/>
    <s v="Facebook Ads"/>
    <s v="FB_Prospecting"/>
    <s v="SAVE45"/>
    <n v="0"/>
    <n v="0"/>
    <x v="2"/>
    <n v="3376.42"/>
    <n v="0"/>
    <n v="236.35"/>
    <n v="7.53"/>
    <n v="3620.3"/>
    <n v="1681.78"/>
    <n v="1930.99"/>
    <n v="53.34"/>
    <n v="14983.16"/>
    <b v="1"/>
    <n v="10"/>
  </r>
  <r>
    <s v="ORD-116996"/>
    <x v="13"/>
    <d v="1899-12-30T21:07:59"/>
    <s v="Returned"/>
    <x v="1"/>
    <x v="13"/>
    <s v="Connor Nichols"/>
    <n v="50"/>
    <s v="Female"/>
    <x v="0"/>
    <s v="Loyal"/>
    <x v="13"/>
    <s v="Bavaria"/>
    <s v="Germany"/>
    <x v="1"/>
    <n v="2951"/>
    <x v="1"/>
    <s v="Refunded"/>
    <s v="EUR"/>
    <s v="Standard"/>
    <s v="WH-011"/>
    <s v="Cancelled"/>
    <s v="Returned"/>
    <s v="Other"/>
    <s v="Facebook Ads"/>
    <s v="FB_Retargeting"/>
    <s v="SAVE42"/>
    <n v="0"/>
    <n v="0"/>
    <x v="3"/>
    <n v="1336.54"/>
    <n v="0"/>
    <n v="253.94"/>
    <n v="35.700000000000003"/>
    <n v="1626.18"/>
    <n v="654.01"/>
    <n v="936.47"/>
    <n v="57.59"/>
    <n v="10843.98"/>
    <b v="1"/>
    <n v="9"/>
  </r>
  <r>
    <s v="ORD-848657"/>
    <x v="14"/>
    <d v="1899-12-30T13:39:20"/>
    <s v="Returned"/>
    <x v="1"/>
    <x v="14"/>
    <s v="Darren Ingram"/>
    <n v="20"/>
    <s v="Male"/>
    <x v="3"/>
    <s v="Loyal"/>
    <x v="14"/>
    <s v="Florida"/>
    <s v="USA"/>
    <x v="1"/>
    <n v="44361"/>
    <x v="1"/>
    <s v="Refunded"/>
    <s v="USD"/>
    <s v="Express"/>
    <s v="WH-002"/>
    <s v="Cancelled"/>
    <s v="Returned"/>
    <s v="Damaged Product"/>
    <s v="Organic Search"/>
    <s v="Default_Campaign"/>
    <s v="SAVE29"/>
    <n v="0"/>
    <n v="0"/>
    <x v="4"/>
    <n v="958.7"/>
    <n v="0"/>
    <n v="67.099999999999994"/>
    <n v="20.47"/>
    <n v="1046.27"/>
    <n v="446.32"/>
    <n v="579.48"/>
    <n v="55.39"/>
    <n v="6170.81"/>
    <b v="1"/>
    <n v="5"/>
  </r>
  <r>
    <s v="ORD-557887"/>
    <x v="15"/>
    <d v="1899-12-30T12:24:02"/>
    <s v="Returned"/>
    <x v="1"/>
    <x v="15"/>
    <s v="Matthew Oliver"/>
    <n v="61"/>
    <s v="Female"/>
    <x v="1"/>
    <s v="Loyal"/>
    <x v="15"/>
    <s v="Illinois"/>
    <s v="USA"/>
    <x v="2"/>
    <n v="42752"/>
    <x v="4"/>
    <s v="Refunded"/>
    <s v="USD"/>
    <s v="Standard"/>
    <s v="WH-018"/>
    <s v="Cancelled"/>
    <s v="Returned"/>
    <s v="Product Not as Expected"/>
    <s v="Email Marketing"/>
    <s v="Abandoned_Cart"/>
    <s v="SAVE26"/>
    <n v="0"/>
    <n v="0"/>
    <x v="0"/>
    <n v="1336.66"/>
    <n v="0"/>
    <n v="93.57"/>
    <n v="18.29"/>
    <n v="1448.52"/>
    <n v="728.87"/>
    <n v="701.36"/>
    <n v="48.42"/>
    <n v="6065.44"/>
    <b v="1"/>
    <n v="7"/>
  </r>
  <r>
    <s v="ORD-691737"/>
    <x v="16"/>
    <d v="1899-12-30T20:41:46"/>
    <s v="Returned"/>
    <x v="1"/>
    <x v="16"/>
    <s v="Karen Mccall"/>
    <n v="55"/>
    <s v="Female"/>
    <x v="1"/>
    <s v="Loyal"/>
    <x v="16"/>
    <s v="Ohio"/>
    <s v="USA"/>
    <x v="2"/>
    <n v="87929"/>
    <x v="4"/>
    <s v="Refunded"/>
    <s v="USD"/>
    <s v="Economy"/>
    <s v="WH-014"/>
    <s v="Cancelled"/>
    <s v="Returned"/>
    <s v="Other"/>
    <s v="Direct"/>
    <s v="Default_Campaign"/>
    <s v="SAVE43"/>
    <n v="0"/>
    <n v="0"/>
    <x v="4"/>
    <n v="1552.36"/>
    <n v="0"/>
    <n v="108.66"/>
    <n v="2.69"/>
    <n v="1663.71"/>
    <n v="636.48"/>
    <n v="1024.54"/>
    <n v="61.58"/>
    <n v="20991.919999999998"/>
    <b v="1"/>
    <n v="10"/>
  </r>
  <r>
    <s v="ORD-993529"/>
    <x v="17"/>
    <d v="1899-12-30T16:16:19"/>
    <s v="Returned"/>
    <x v="1"/>
    <x v="17"/>
    <s v="Tony Munoz"/>
    <n v="73"/>
    <s v="Male"/>
    <x v="3"/>
    <s v="Loyal"/>
    <x v="17"/>
    <s v="Northern Ireland"/>
    <s v="UK"/>
    <x v="3"/>
    <n v="93396"/>
    <x v="4"/>
    <s v="Refunded"/>
    <s v="GBP"/>
    <s v="Economy"/>
    <s v="WH-005"/>
    <s v="Cancelled"/>
    <s v="Returned"/>
    <s v="Damaged Product"/>
    <s v="Organic Search"/>
    <s v="Default_Campaign"/>
    <s v="SAVE45"/>
    <n v="0"/>
    <n v="0"/>
    <x v="1"/>
    <n v="5219.6899999999996"/>
    <n v="0"/>
    <n v="1043.93"/>
    <n v="25.3"/>
    <n v="6288.92"/>
    <n v="3403.11"/>
    <n v="2860.51"/>
    <n v="45.48"/>
    <n v="11439.17"/>
    <b v="1"/>
    <n v="7"/>
  </r>
  <r>
    <s v="ORD-845017"/>
    <x v="18"/>
    <d v="1899-12-30T03:39:57"/>
    <s v="Returned"/>
    <x v="2"/>
    <x v="18"/>
    <s v="Sherry Patterson"/>
    <n v="52"/>
    <s v="Female"/>
    <x v="1"/>
    <s v="Loyal"/>
    <x v="18"/>
    <s v="England"/>
    <s v="UK"/>
    <x v="4"/>
    <n v="46817"/>
    <x v="0"/>
    <s v="Refunded"/>
    <s v="GBP"/>
    <s v="Standard"/>
    <s v="WH-009"/>
    <s v="Cancelled"/>
    <s v="Returned"/>
    <s v="Defective Product"/>
    <s v="Facebook Ads"/>
    <s v="FB_Retargeting"/>
    <s v="SAVE35"/>
    <n v="0"/>
    <n v="0"/>
    <x v="0"/>
    <n v="380.28"/>
    <n v="0"/>
    <n v="76.06"/>
    <n v="21.39"/>
    <n v="477.73"/>
    <n v="193.79"/>
    <n v="262.55"/>
    <n v="54.96"/>
    <n v="9572.7999999999993"/>
    <b v="1"/>
    <n v="10"/>
  </r>
  <r>
    <s v="ORD-415417"/>
    <x v="19"/>
    <d v="1899-12-30T23:18:49"/>
    <s v="Returned"/>
    <x v="0"/>
    <x v="19"/>
    <s v="Michael Santos"/>
    <n v="47"/>
    <s v="Female"/>
    <x v="0"/>
    <s v="Loyal"/>
    <x v="19"/>
    <s v="Georgia"/>
    <s v="USA"/>
    <x v="1"/>
    <n v="61342"/>
    <x v="5"/>
    <s v="Refunded"/>
    <s v="USD"/>
    <s v="Standard"/>
    <s v="WH-018"/>
    <s v="Cancelled"/>
    <s v="Returned"/>
    <s v="Wrong Product"/>
    <s v="Organic Search"/>
    <s v="Default_Campaign"/>
    <s v="SAVE39"/>
    <n v="0"/>
    <n v="0"/>
    <x v="7"/>
    <n v="544.74"/>
    <n v="0"/>
    <n v="38.14"/>
    <n v="35.72"/>
    <n v="618.6"/>
    <n v="238.1"/>
    <n v="344.78"/>
    <n v="55.74"/>
    <n v="15710.16"/>
    <b v="1"/>
    <n v="8"/>
  </r>
  <r>
    <s v="ORD-730718"/>
    <x v="20"/>
    <d v="1899-12-30T23:10:34"/>
    <s v="Returned"/>
    <x v="3"/>
    <x v="20"/>
    <s v="Cynthia Perkins"/>
    <n v="18"/>
    <s v="Male"/>
    <x v="3"/>
    <s v="Loyal"/>
    <x v="20"/>
    <s v="Georgia"/>
    <s v="USA"/>
    <x v="1"/>
    <n v="81308"/>
    <x v="4"/>
    <s v="Refunded"/>
    <s v="USD"/>
    <s v="Standard"/>
    <s v="WH-001"/>
    <s v="Cancelled"/>
    <s v="Returned"/>
    <s v="Size Issue"/>
    <s v="Google Ads"/>
    <s v="Google_Display"/>
    <s v="SAVE14"/>
    <n v="0"/>
    <n v="0"/>
    <x v="7"/>
    <n v="120.04"/>
    <n v="0"/>
    <n v="8.41"/>
    <n v="11.5"/>
    <n v="139.94999999999999"/>
    <n v="48.16"/>
    <n v="80.290000000000006"/>
    <n v="57.37"/>
    <n v="6753.53"/>
    <b v="1"/>
    <n v="5"/>
  </r>
  <r>
    <s v="ORD-706053"/>
    <x v="21"/>
    <d v="1899-12-30T15:59:07"/>
    <s v="Returned"/>
    <x v="0"/>
    <x v="21"/>
    <s v="Victor Stewart"/>
    <n v="61"/>
    <s v="Male"/>
    <x v="0"/>
    <s v="Returning"/>
    <x v="21"/>
    <s v="New York"/>
    <s v="USA"/>
    <x v="0"/>
    <n v="59556"/>
    <x v="2"/>
    <s v="Refunded"/>
    <s v="USD"/>
    <s v="Standard"/>
    <s v="WH-010"/>
    <s v="Cancelled"/>
    <s v="Returned"/>
    <s v="Defective Product"/>
    <s v="Google Ads"/>
    <s v="Google_Display"/>
    <s v="SAVE22"/>
    <n v="0"/>
    <n v="0"/>
    <x v="0"/>
    <n v="2661.99"/>
    <n v="0"/>
    <n v="186.34"/>
    <n v="20.47"/>
    <n v="2868.8"/>
    <n v="1240.3800000000001"/>
    <n v="1607.95"/>
    <n v="56.05"/>
    <n v="3053.2"/>
    <b v="1"/>
    <n v="2"/>
  </r>
  <r>
    <s v="ORD-652493"/>
    <x v="22"/>
    <d v="1899-12-30T02:34:52"/>
    <s v="Returned"/>
    <x v="1"/>
    <x v="22"/>
    <s v="Jason Harvey"/>
    <n v="64"/>
    <s v="Male"/>
    <x v="0"/>
    <s v="Loyal"/>
    <x v="22"/>
    <s v="Northern Ireland"/>
    <s v="UK"/>
    <x v="3"/>
    <n v="38156"/>
    <x v="0"/>
    <s v="Refunded"/>
    <s v="GBP"/>
    <s v="Economy"/>
    <s v="WH-016"/>
    <s v="Cancelled"/>
    <s v="Returned"/>
    <s v="Size Issue"/>
    <s v="Google Ads"/>
    <s v="Google_Search_Q1"/>
    <s v="SAVE38"/>
    <n v="0"/>
    <n v="0"/>
    <x v="0"/>
    <n v="1327.39"/>
    <n v="0"/>
    <n v="265.48"/>
    <n v="10.26"/>
    <n v="1603.13"/>
    <n v="747.19"/>
    <n v="845.68"/>
    <n v="52.75"/>
    <n v="14646.81"/>
    <b v="1"/>
    <n v="10"/>
  </r>
  <r>
    <s v="ORD-826820"/>
    <x v="23"/>
    <d v="1899-12-30T13:10:00"/>
    <s v="Returned"/>
    <x v="0"/>
    <x v="23"/>
    <s v="Adam White"/>
    <n v="29"/>
    <s v="Male"/>
    <x v="2"/>
    <s v="Loyal"/>
    <x v="23"/>
    <s v="Georgia"/>
    <s v="USA"/>
    <x v="1"/>
    <n v="87560"/>
    <x v="2"/>
    <s v="Refunded"/>
    <s v="USD"/>
    <s v="Standard"/>
    <s v="WH-001"/>
    <s v="Cancelled"/>
    <s v="Returned"/>
    <s v="Size Issue"/>
    <s v="Direct"/>
    <s v="Default_Campaign"/>
    <s v="SAVE34"/>
    <n v="0"/>
    <n v="0"/>
    <x v="0"/>
    <n v="221.85"/>
    <n v="0"/>
    <n v="15.53"/>
    <n v="15.22"/>
    <n v="252.6"/>
    <n v="97.44"/>
    <n v="139.94"/>
    <n v="55.4"/>
    <n v="6853.83"/>
    <b v="1"/>
    <n v="10"/>
  </r>
  <r>
    <s v="ORD-845998"/>
    <x v="24"/>
    <d v="1899-12-30T20:07:27"/>
    <s v="Returned"/>
    <x v="1"/>
    <x v="24"/>
    <s v="Brittany Terry"/>
    <n v="37"/>
    <s v="Female"/>
    <x v="3"/>
    <s v="Loyal"/>
    <x v="24"/>
    <s v="Texas"/>
    <s v="USA"/>
    <x v="1"/>
    <n v="78762"/>
    <x v="5"/>
    <s v="Refunded"/>
    <s v="USD"/>
    <s v="Standard"/>
    <s v="WH-010"/>
    <s v="Cancelled"/>
    <s v="Returned"/>
    <s v="Late Delivery"/>
    <s v="Organic Search"/>
    <s v="Default_Campaign"/>
    <s v="SAVE34"/>
    <n v="0"/>
    <n v="0"/>
    <x v="5"/>
    <n v="133.30000000000001"/>
    <n v="0"/>
    <n v="9.34"/>
    <n v="12.27"/>
    <n v="154.91"/>
    <n v="59.47"/>
    <n v="83.17"/>
    <n v="53.69"/>
    <n v="3564.95"/>
    <b v="1"/>
    <n v="4"/>
  </r>
  <r>
    <s v="ORD-705767"/>
    <x v="10"/>
    <d v="1899-12-30T09:08:05"/>
    <s v="Returned"/>
    <x v="1"/>
    <x v="25"/>
    <s v="Stacey Ramos"/>
    <n v="66"/>
    <s v="Male"/>
    <x v="2"/>
    <s v="Loyal"/>
    <x v="25"/>
    <s v="Dubai"/>
    <s v="UAE"/>
    <x v="1"/>
    <n v="24429"/>
    <x v="5"/>
    <s v="Refunded"/>
    <s v="AED"/>
    <s v="Express"/>
    <s v="WH-002"/>
    <s v="Cancelled"/>
    <s v="Returned"/>
    <s v="Damaged Product"/>
    <s v="Referral"/>
    <s v="Referral_Program"/>
    <s v="SAVE28"/>
    <n v="0"/>
    <n v="0"/>
    <x v="8"/>
    <n v="1407.68"/>
    <n v="0"/>
    <n v="70.38"/>
    <n v="37.090000000000003"/>
    <n v="1515.15"/>
    <n v="508.54"/>
    <n v="969.52"/>
    <n v="63.99"/>
    <n v="11042.37"/>
    <b v="1"/>
    <n v="8"/>
  </r>
  <r>
    <s v="ORD-708310"/>
    <x v="25"/>
    <d v="1899-12-30T15:30:20"/>
    <s v="Returned"/>
    <x v="1"/>
    <x v="26"/>
    <s v="Russell Nguyen"/>
    <n v="31"/>
    <s v="Male"/>
    <x v="0"/>
    <s v="Loyal"/>
    <x v="26"/>
    <s v="North Carolina"/>
    <s v="USA"/>
    <x v="1"/>
    <n v="38479"/>
    <x v="4"/>
    <s v="Refunded"/>
    <s v="USD"/>
    <s v="Standard"/>
    <s v="WH-005"/>
    <s v="Cancelled"/>
    <s v="Returned"/>
    <s v="Changed Mind"/>
    <s v="Organic Search"/>
    <s v="Default_Campaign"/>
    <s v="SAVE33"/>
    <n v="0"/>
    <n v="0"/>
    <x v="5"/>
    <n v="241.8"/>
    <n v="0"/>
    <n v="16.93"/>
    <n v="9.59"/>
    <n v="268.32"/>
    <n v="139"/>
    <n v="119.73"/>
    <n v="44.62"/>
    <n v="8992.7000000000007"/>
    <b v="1"/>
    <n v="7"/>
  </r>
  <r>
    <s v="ORD-348296"/>
    <x v="26"/>
    <d v="1899-12-30T11:03:29"/>
    <s v="Returned"/>
    <x v="2"/>
    <x v="27"/>
    <s v="Nicholas Miller"/>
    <n v="35"/>
    <s v="Female"/>
    <x v="0"/>
    <s v="Loyal"/>
    <x v="27"/>
    <s v="Pennsylvania"/>
    <s v="USA"/>
    <x v="0"/>
    <n v="72739"/>
    <x v="6"/>
    <s v="Refunded"/>
    <s v="USD"/>
    <s v="Economy"/>
    <s v="WH-007"/>
    <s v="Cancelled"/>
    <s v="Returned"/>
    <s v="Size Issue"/>
    <s v="Organic Search"/>
    <s v="Default_Campaign"/>
    <s v="SAVE23"/>
    <n v="0"/>
    <n v="0"/>
    <x v="5"/>
    <n v="1875.36"/>
    <n v="0"/>
    <n v="131.27000000000001"/>
    <n v="18.62"/>
    <n v="2025.25"/>
    <n v="1189.53"/>
    <n v="817.1"/>
    <n v="40.35"/>
    <n v="14160.73"/>
    <b v="1"/>
    <n v="8"/>
  </r>
  <r>
    <s v="ORD-812346"/>
    <x v="27"/>
    <d v="1899-12-30T10:51:48"/>
    <s v="Returned"/>
    <x v="0"/>
    <x v="28"/>
    <s v="Douglas Campbell"/>
    <n v="55"/>
    <s v="Female"/>
    <x v="0"/>
    <s v="Loyal"/>
    <x v="28"/>
    <s v="Texas"/>
    <s v="USA"/>
    <x v="1"/>
    <n v="66834"/>
    <x v="1"/>
    <s v="Refunded"/>
    <s v="USD"/>
    <s v="Economy"/>
    <s v="WH-005"/>
    <s v="Cancelled"/>
    <s v="Returned"/>
    <s v="Wrong Product"/>
    <s v="Email Marketing"/>
    <s v="Abandoned_Cart"/>
    <s v="SAVE27"/>
    <n v="0"/>
    <n v="0"/>
    <x v="7"/>
    <n v="490.76"/>
    <n v="0"/>
    <n v="34.36"/>
    <n v="10.09"/>
    <n v="535.21"/>
    <n v="193.96"/>
    <n v="331.16"/>
    <n v="61.87"/>
    <n v="4665.3900000000003"/>
    <b v="1"/>
    <n v="7"/>
  </r>
  <r>
    <s v="ORD-461267"/>
    <x v="28"/>
    <d v="1899-12-30T07:22:19"/>
    <s v="Returned"/>
    <x v="0"/>
    <x v="29"/>
    <s v="Kathleen Griffin"/>
    <n v="58"/>
    <s v="Female"/>
    <x v="0"/>
    <s v="Loyal"/>
    <x v="29"/>
    <s v="Dubai"/>
    <s v="UAE"/>
    <x v="1"/>
    <n v="29930"/>
    <x v="3"/>
    <s v="Refunded"/>
    <s v="AED"/>
    <s v="Same Day"/>
    <s v="WH-006"/>
    <s v="Cancelled"/>
    <s v="Returned"/>
    <s v="Damaged Product"/>
    <s v="Instagram"/>
    <s v="Insta_Stories"/>
    <s v="SAVE30"/>
    <n v="0"/>
    <n v="0"/>
    <x v="2"/>
    <n v="370.08"/>
    <n v="0"/>
    <n v="18.5"/>
    <n v="78.97"/>
    <n v="467.55"/>
    <n v="127.56"/>
    <n v="261.02"/>
    <n v="55.83"/>
    <n v="7351.76"/>
    <b v="1"/>
    <n v="8"/>
  </r>
  <r>
    <s v="ORD-614937"/>
    <x v="29"/>
    <d v="1899-12-30T15:20:26"/>
    <s v="Returned"/>
    <x v="2"/>
    <x v="30"/>
    <s v="Chris Norris"/>
    <n v="51"/>
    <s v="Female"/>
    <x v="0"/>
    <s v="Loyal"/>
    <x v="30"/>
    <s v="North Carolina"/>
    <s v="USA"/>
    <x v="1"/>
    <n v="74727"/>
    <x v="5"/>
    <s v="Refunded"/>
    <s v="USD"/>
    <s v="Express"/>
    <s v="WH-005"/>
    <s v="Cancelled"/>
    <s v="Returned"/>
    <s v="Damaged Product"/>
    <s v="Direct"/>
    <s v="Default_Campaign"/>
    <s v="SAVE42"/>
    <n v="0"/>
    <n v="0"/>
    <x v="2"/>
    <n v="650.5"/>
    <n v="0"/>
    <n v="45.54"/>
    <n v="39.39"/>
    <n v="735.43"/>
    <n v="278.52999999999997"/>
    <n v="417.51"/>
    <n v="56.77"/>
    <n v="10303.700000000001"/>
    <b v="1"/>
    <n v="11"/>
  </r>
  <r>
    <s v="ORD-654887"/>
    <x v="30"/>
    <d v="1899-12-30T21:15:33"/>
    <s v="Returned"/>
    <x v="0"/>
    <x v="31"/>
    <s v="Alexandra Flores"/>
    <n v="36"/>
    <s v="Female"/>
    <x v="2"/>
    <s v="Returning"/>
    <x v="31"/>
    <s v="South Australia"/>
    <s v="Australia"/>
    <x v="1"/>
    <n v="97331"/>
    <x v="0"/>
    <s v="Refunded"/>
    <s v="AUD"/>
    <s v="Economy"/>
    <s v="WH-010"/>
    <s v="Cancelled"/>
    <s v="Returned"/>
    <s v="Damaged Product"/>
    <s v="Google Ads"/>
    <s v="Google_Display"/>
    <s v="SAVE19"/>
    <n v="0"/>
    <n v="0"/>
    <x v="0"/>
    <n v="183.77"/>
    <n v="0"/>
    <n v="18.38"/>
    <n v="7.45"/>
    <n v="209.6"/>
    <n v="91.69"/>
    <n v="110.46"/>
    <n v="52.7"/>
    <n v="1821.74"/>
    <b v="1"/>
    <n v="3"/>
  </r>
  <r>
    <s v="ORD-415605"/>
    <x v="31"/>
    <d v="1899-12-30T16:23:19"/>
    <s v="Returned"/>
    <x v="0"/>
    <x v="32"/>
    <s v="Haley Grimes"/>
    <n v="74"/>
    <s v="Male"/>
    <x v="2"/>
    <s v="Loyal"/>
    <x v="32"/>
    <s v="South Australia"/>
    <s v="Australia"/>
    <x v="1"/>
    <n v="57947"/>
    <x v="1"/>
    <s v="Refunded"/>
    <s v="AUD"/>
    <s v="Economy"/>
    <s v="WH-017"/>
    <s v="Cancelled"/>
    <s v="Returned"/>
    <s v="Changed Mind"/>
    <s v="Affiliate"/>
    <s v="Influencer_Program"/>
    <s v="SAVE20"/>
    <n v="0"/>
    <n v="0"/>
    <x v="5"/>
    <n v="1812.89"/>
    <n v="0"/>
    <n v="181.29"/>
    <n v="4.42"/>
    <n v="1998.6"/>
    <n v="942.73"/>
    <n v="1051.45"/>
    <n v="52.61"/>
    <n v="4107.9799999999996"/>
    <b v="1"/>
    <n v="5"/>
  </r>
  <r>
    <s v="ORD-745196"/>
    <x v="32"/>
    <d v="1899-12-30T18:55:49"/>
    <s v="Returned"/>
    <x v="0"/>
    <x v="33"/>
    <s v="Brian Bennett"/>
    <n v="69"/>
    <s v="Male"/>
    <x v="0"/>
    <s v="Loyal"/>
    <x v="33"/>
    <s v="North Carolina"/>
    <s v="USA"/>
    <x v="1"/>
    <n v="18652"/>
    <x v="5"/>
    <s v="Refunded"/>
    <s v="USD"/>
    <s v="Standard"/>
    <s v="WH-001"/>
    <s v="Cancelled"/>
    <s v="Returned"/>
    <s v="Changed Mind"/>
    <s v="Direct"/>
    <s v="Default_Campaign"/>
    <s v="SAVE20"/>
    <n v="0"/>
    <n v="0"/>
    <x v="4"/>
    <n v="3071.26"/>
    <n v="0"/>
    <n v="214.99"/>
    <n v="26.76"/>
    <n v="3313.01"/>
    <n v="1689.96"/>
    <n v="1596.29"/>
    <n v="48.18"/>
    <n v="11593.44"/>
    <b v="1"/>
    <n v="7"/>
  </r>
  <r>
    <s v="ORD-799725"/>
    <x v="33"/>
    <d v="1899-12-30T00:57:33"/>
    <s v="Returned"/>
    <x v="0"/>
    <x v="34"/>
    <s v="Jodi Noble"/>
    <n v="51"/>
    <s v="Male"/>
    <x v="0"/>
    <s v="Returning"/>
    <x v="34"/>
    <s v="Gujarat"/>
    <s v="India"/>
    <x v="3"/>
    <n v="95309"/>
    <x v="3"/>
    <s v="Refunded"/>
    <s v="INR"/>
    <s v="Standard"/>
    <s v="WH-001"/>
    <s v="Cancelled"/>
    <s v="Returned"/>
    <s v="Defective Product"/>
    <s v="Organic Search"/>
    <s v="Default_Campaign"/>
    <s v="SAVE18"/>
    <n v="0"/>
    <n v="0"/>
    <x v="1"/>
    <n v="2209.75"/>
    <n v="0"/>
    <n v="397.76"/>
    <n v="31.63"/>
    <n v="2639.14"/>
    <n v="925.87"/>
    <n v="1681.64"/>
    <n v="63.72"/>
    <n v="3800.13"/>
    <b v="1"/>
    <n v="3"/>
  </r>
  <r>
    <s v="ORD-723140"/>
    <x v="34"/>
    <d v="1899-12-30T16:22:22"/>
    <s v="Returned"/>
    <x v="0"/>
    <x v="35"/>
    <s v="Sarah Koch"/>
    <n v="27"/>
    <s v="Male"/>
    <x v="1"/>
    <s v="Loyal"/>
    <x v="35"/>
    <s v="Michigan"/>
    <s v="USA"/>
    <x v="2"/>
    <n v="56374"/>
    <x v="2"/>
    <s v="Refunded"/>
    <s v="USD"/>
    <s v="Standard"/>
    <s v="WH-003"/>
    <s v="Cancelled"/>
    <s v="Returned"/>
    <s v="Late Delivery"/>
    <s v="Referral"/>
    <s v="Referral_Program"/>
    <s v="SAVE18"/>
    <n v="0"/>
    <n v="0"/>
    <x v="6"/>
    <n v="75.41"/>
    <n v="0"/>
    <n v="5.28"/>
    <n v="2.57"/>
    <n v="83.26"/>
    <n v="27.93"/>
    <n v="52.76"/>
    <n v="63.37"/>
    <n v="3254.66"/>
    <b v="1"/>
    <n v="6"/>
  </r>
  <r>
    <s v="ORD-362627"/>
    <x v="27"/>
    <d v="1899-12-30T11:22:16"/>
    <s v="Returned"/>
    <x v="1"/>
    <x v="36"/>
    <s v="Cameron Jordan"/>
    <n v="68"/>
    <s v="Male"/>
    <x v="0"/>
    <s v="Loyal"/>
    <x v="36"/>
    <s v="Uttar Pradesh"/>
    <s v="India"/>
    <x v="4"/>
    <n v="33645"/>
    <x v="0"/>
    <s v="Refunded"/>
    <s v="INR"/>
    <s v="Standard"/>
    <s v="WH-001"/>
    <s v="Cancelled"/>
    <s v="Returned"/>
    <s v="Product Not as Expected"/>
    <s v="Referral"/>
    <s v="Friend_Invite"/>
    <s v="SAVE38"/>
    <n v="0"/>
    <n v="0"/>
    <x v="5"/>
    <n v="574.45000000000005"/>
    <n v="0"/>
    <n v="103.4"/>
    <n v="18.579999999999998"/>
    <n v="696.43"/>
    <n v="275.23"/>
    <n v="402.62"/>
    <n v="57.81"/>
    <n v="3055.74"/>
    <b v="1"/>
    <n v="7"/>
  </r>
  <r>
    <s v="ORD-760534"/>
    <x v="35"/>
    <d v="1899-12-30T15:59:01"/>
    <s v="Returned"/>
    <x v="1"/>
    <x v="37"/>
    <s v="Anthony Wright"/>
    <n v="51"/>
    <s v="Male"/>
    <x v="1"/>
    <s v="Loyal"/>
    <x v="37"/>
    <s v="New York"/>
    <s v="USA"/>
    <x v="0"/>
    <n v="66457"/>
    <x v="0"/>
    <s v="Refunded"/>
    <s v="USD"/>
    <s v="Same Day"/>
    <s v="WH-004"/>
    <s v="Cancelled"/>
    <s v="Returned"/>
    <s v="Wrong Product"/>
    <s v="Instagram"/>
    <s v="Insta_Reels"/>
    <s v="SAVE25"/>
    <n v="0"/>
    <n v="0"/>
    <x v="3"/>
    <n v="1083.33"/>
    <n v="0"/>
    <n v="75.84"/>
    <n v="26.04"/>
    <n v="1185.21"/>
    <n v="527.20000000000005"/>
    <n v="631.97"/>
    <n v="53.32"/>
    <n v="10847.98"/>
    <b v="1"/>
    <n v="9"/>
  </r>
  <r>
    <s v="ORD-553865"/>
    <x v="30"/>
    <d v="1899-12-30T19:47:18"/>
    <s v="Returned"/>
    <x v="3"/>
    <x v="38"/>
    <s v="Daniel Stewart"/>
    <n v="57"/>
    <s v="Male"/>
    <x v="0"/>
    <s v="Returning"/>
    <x v="38"/>
    <s v="Illinois"/>
    <s v="USA"/>
    <x v="2"/>
    <n v="90885"/>
    <x v="5"/>
    <s v="Refunded"/>
    <s v="USD"/>
    <s v="Standard"/>
    <s v="WH-002"/>
    <s v="Cancelled"/>
    <s v="Returned"/>
    <s v="Changed Mind"/>
    <s v="Organic Search"/>
    <s v="Default_Campaign"/>
    <s v="SAVE28"/>
    <n v="0"/>
    <n v="0"/>
    <x v="0"/>
    <n v="599.15"/>
    <n v="0"/>
    <n v="41.94"/>
    <n v="12.48"/>
    <n v="653.57000000000005"/>
    <n v="329.33"/>
    <n v="311.76"/>
    <n v="47.7"/>
    <n v="1248.55"/>
    <b v="1"/>
    <n v="2"/>
  </r>
  <r>
    <s v="ORD-476168"/>
    <x v="36"/>
    <d v="1899-12-30T08:45:08"/>
    <s v="Returned"/>
    <x v="1"/>
    <x v="39"/>
    <s v="Jason Taylor"/>
    <n v="63"/>
    <s v="Male"/>
    <x v="1"/>
    <s v="Loyal"/>
    <x v="39"/>
    <s v="Michigan"/>
    <s v="USA"/>
    <x v="2"/>
    <n v="17612"/>
    <x v="5"/>
    <s v="Refunded"/>
    <s v="USD"/>
    <s v="Same Day"/>
    <s v="WH-017"/>
    <s v="Cancelled"/>
    <s v="Returned"/>
    <s v="Product Not as Expected"/>
    <s v="Google Ads"/>
    <s v="Google_Shopping"/>
    <s v="SAVE48"/>
    <n v="0"/>
    <n v="0"/>
    <x v="3"/>
    <n v="2360.12"/>
    <n v="0"/>
    <n v="165.22"/>
    <n v="36.24"/>
    <n v="2561.58"/>
    <n v="1177.27"/>
    <n v="1348.07"/>
    <n v="52.63"/>
    <n v="15473.53"/>
    <b v="1"/>
    <n v="8"/>
  </r>
  <r>
    <s v="ORD-863449"/>
    <x v="37"/>
    <d v="1899-12-30T17:32:55"/>
    <s v="Returned"/>
    <x v="0"/>
    <x v="40"/>
    <s v="Justin Baker"/>
    <n v="25"/>
    <s v="Male"/>
    <x v="1"/>
    <s v="Loyal"/>
    <x v="40"/>
    <s v="Texas"/>
    <s v="USA"/>
    <x v="1"/>
    <n v="9553"/>
    <x v="6"/>
    <s v="Refunded"/>
    <s v="USD"/>
    <s v="Standard"/>
    <s v="WH-018"/>
    <s v="Cancelled"/>
    <s v="Returned"/>
    <s v="Product Not as Expected"/>
    <s v="Direct"/>
    <s v="Default_Campaign"/>
    <s v="SAVE33"/>
    <n v="0"/>
    <n v="0"/>
    <x v="6"/>
    <n v="149.31"/>
    <n v="0"/>
    <n v="10.45"/>
    <n v="2.52"/>
    <n v="162.28"/>
    <n v="49.99"/>
    <n v="109.77"/>
    <n v="67.64"/>
    <n v="6854.25"/>
    <b v="1"/>
    <n v="8"/>
  </r>
  <r>
    <s v="ORD-353246"/>
    <x v="38"/>
    <d v="1899-12-30T05:35:07"/>
    <s v="Returned"/>
    <x v="0"/>
    <x v="41"/>
    <s v="Larry Brooks"/>
    <n v="41"/>
    <s v="Male"/>
    <x v="0"/>
    <s v="Loyal"/>
    <x v="41"/>
    <s v="California"/>
    <s v="USA"/>
    <x v="3"/>
    <n v="82358"/>
    <x v="4"/>
    <s v="Refunded"/>
    <s v="USD"/>
    <s v="Standard"/>
    <s v="WH-017"/>
    <s v="Cancelled"/>
    <s v="Returned"/>
    <s v="Changed Mind"/>
    <s v="Facebook Ads"/>
    <s v="FB_Retargeting"/>
    <s v="SAVE41"/>
    <n v="0"/>
    <n v="0"/>
    <x v="0"/>
    <n v="465.05"/>
    <n v="0"/>
    <n v="32.549999999999997"/>
    <n v="41.45"/>
    <n v="539.04999999999995"/>
    <n v="208.97"/>
    <n v="288.63"/>
    <n v="53.54"/>
    <n v="6834.46"/>
    <b v="1"/>
    <n v="6"/>
  </r>
  <r>
    <s v="ORD-168002"/>
    <x v="39"/>
    <d v="1899-12-30T10:50:14"/>
    <s v="Returned"/>
    <x v="2"/>
    <x v="42"/>
    <s v="Julia Christensen"/>
    <n v="43"/>
    <s v="Female"/>
    <x v="0"/>
    <s v="Loyal"/>
    <x v="42"/>
    <s v="Lower Saxony"/>
    <s v="Germany"/>
    <x v="4"/>
    <n v="34565"/>
    <x v="5"/>
    <s v="Refunded"/>
    <s v="EUR"/>
    <s v="Standard"/>
    <s v="WH-015"/>
    <s v="Cancelled"/>
    <s v="Returned"/>
    <s v="Size Issue"/>
    <s v="Email Marketing"/>
    <s v="Abandoned_Cart"/>
    <s v="SAVE24"/>
    <n v="0"/>
    <n v="0"/>
    <x v="4"/>
    <n v="1410.25"/>
    <n v="0"/>
    <n v="267.95"/>
    <n v="14.74"/>
    <n v="1692.94"/>
    <n v="511.81"/>
    <n v="1166.3900000000001"/>
    <n v="68.900000000000006"/>
    <n v="6604.09"/>
    <b v="1"/>
    <n v="7"/>
  </r>
  <r>
    <s v="ORD-179192"/>
    <x v="40"/>
    <d v="1899-12-30T00:28:46"/>
    <s v="Returned"/>
    <x v="2"/>
    <x v="43"/>
    <s v="Lisa Allen"/>
    <n v="31"/>
    <s v="Female"/>
    <x v="0"/>
    <s v="Loyal"/>
    <x v="43"/>
    <s v="Wales"/>
    <s v="UK"/>
    <x v="3"/>
    <n v="58182"/>
    <x v="2"/>
    <s v="Refunded"/>
    <s v="GBP"/>
    <s v="Express"/>
    <s v="WH-006"/>
    <s v="Cancelled"/>
    <s v="Returned"/>
    <s v="Size Issue"/>
    <s v="Google Ads"/>
    <s v="Google_Shopping"/>
    <s v="SAVE41"/>
    <n v="0"/>
    <n v="0"/>
    <x v="9"/>
    <n v="469.07"/>
    <n v="0"/>
    <n v="93.82"/>
    <n v="24.97"/>
    <n v="587.86"/>
    <n v="179.97"/>
    <n v="382.92"/>
    <n v="65.14"/>
    <n v="4048.44"/>
    <b v="1"/>
    <n v="7"/>
  </r>
  <r>
    <s v="ORD-290203"/>
    <x v="41"/>
    <d v="1899-12-30T21:43:37"/>
    <s v="Returned"/>
    <x v="0"/>
    <x v="44"/>
    <s v="Regina Downs"/>
    <n v="67"/>
    <s v="Female"/>
    <x v="1"/>
    <s v="Loyal"/>
    <x v="44"/>
    <s v="Pennsylvania"/>
    <s v="USA"/>
    <x v="0"/>
    <n v="14055"/>
    <x v="5"/>
    <s v="Refunded"/>
    <s v="USD"/>
    <s v="Economy"/>
    <s v="WH-015"/>
    <s v="Cancelled"/>
    <s v="Returned"/>
    <s v="Late Delivery"/>
    <s v="YouTube"/>
    <s v="Default_Campaign"/>
    <s v="SAVE41"/>
    <n v="0"/>
    <n v="0"/>
    <x v="8"/>
    <n v="3378.31"/>
    <n v="0"/>
    <n v="236.47"/>
    <n v="10.199999999999999"/>
    <n v="3624.98"/>
    <n v="1992.26"/>
    <n v="1622.52"/>
    <n v="44.76"/>
    <n v="11446.56"/>
    <b v="1"/>
    <n v="9"/>
  </r>
  <r>
    <s v="ORD-894779"/>
    <x v="42"/>
    <d v="1899-12-30T19:14:46"/>
    <s v="Returned"/>
    <x v="0"/>
    <x v="45"/>
    <s v="Amanda Harris"/>
    <n v="66"/>
    <s v="Female"/>
    <x v="0"/>
    <s v="Loyal"/>
    <x v="45"/>
    <s v="Illinois"/>
    <s v="USA"/>
    <x v="2"/>
    <n v="98190"/>
    <x v="1"/>
    <s v="Refunded"/>
    <s v="USD"/>
    <s v="Express"/>
    <s v="WH-001"/>
    <s v="Cancelled"/>
    <s v="Returned"/>
    <s v="Other"/>
    <s v="Google Ads"/>
    <s v="Google_Shopping"/>
    <s v="SAVE27"/>
    <n v="0"/>
    <n v="0"/>
    <x v="7"/>
    <n v="1028.8599999999999"/>
    <n v="0"/>
    <n v="72.03"/>
    <n v="20.73"/>
    <n v="1121.6199999999999"/>
    <n v="342.52"/>
    <n v="758.37"/>
    <n v="67.61"/>
    <n v="8165.39"/>
    <b v="1"/>
    <n v="12"/>
  </r>
  <r>
    <s v="ORD-220864"/>
    <x v="43"/>
    <d v="1899-12-30T12:55:15"/>
    <s v="Returned"/>
    <x v="2"/>
    <x v="46"/>
    <s v="Dennis Reed"/>
    <n v="60"/>
    <s v="Non-Binary"/>
    <x v="3"/>
    <s v="Loyal"/>
    <x v="46"/>
    <s v="Scotland"/>
    <s v="UK"/>
    <x v="4"/>
    <n v="67501"/>
    <x v="5"/>
    <s v="Refunded"/>
    <s v="GBP"/>
    <s v="Same Day"/>
    <s v="WH-002"/>
    <s v="Cancelled"/>
    <s v="Returned"/>
    <s v="Other"/>
    <s v="Organic Search"/>
    <s v="Default_Campaign"/>
    <s v="SAVE16"/>
    <n v="0"/>
    <n v="0"/>
    <x v="0"/>
    <n v="935.12"/>
    <n v="0"/>
    <n v="187.03"/>
    <n v="27.59"/>
    <n v="1149.74"/>
    <n v="301.79000000000002"/>
    <n v="820.36"/>
    <n v="71.349999999999994"/>
    <n v="19060.72"/>
    <b v="1"/>
    <n v="9"/>
  </r>
  <r>
    <s v="ORD-819489"/>
    <x v="44"/>
    <d v="1899-12-30T22:54:10"/>
    <s v="Returned"/>
    <x v="0"/>
    <x v="47"/>
    <s v="Larry Jackson"/>
    <n v="23"/>
    <s v="Female"/>
    <x v="0"/>
    <s v="Loyal"/>
    <x v="47"/>
    <s v="Pennsylvania"/>
    <s v="USA"/>
    <x v="0"/>
    <n v="13154"/>
    <x v="6"/>
    <s v="Refunded"/>
    <s v="USD"/>
    <s v="Express"/>
    <s v="WH-004"/>
    <s v="Cancelled"/>
    <s v="Returned"/>
    <s v="Late Delivery"/>
    <s v="Organic Search"/>
    <s v="Default_Campaign"/>
    <s v="SAVE19"/>
    <n v="0"/>
    <n v="0"/>
    <x v="3"/>
    <n v="2716.1"/>
    <n v="0"/>
    <n v="190.13"/>
    <n v="39.51"/>
    <n v="2945.74"/>
    <n v="1399.23"/>
    <n v="1507"/>
    <n v="51.16"/>
    <n v="8072.95"/>
    <b v="1"/>
    <n v="7"/>
  </r>
  <r>
    <s v="ORD-444703"/>
    <x v="45"/>
    <d v="1899-12-30T23:47:46"/>
    <s v="Returned"/>
    <x v="1"/>
    <x v="48"/>
    <s v="Nicole Klein"/>
    <n v="56"/>
    <s v="Female"/>
    <x v="0"/>
    <s v="Loyal"/>
    <x v="48"/>
    <s v="North Carolina"/>
    <s v="USA"/>
    <x v="1"/>
    <n v="61012"/>
    <x v="2"/>
    <s v="Refunded"/>
    <s v="USD"/>
    <s v="Economy"/>
    <s v="WH-004"/>
    <s v="Cancelled"/>
    <s v="Returned"/>
    <s v="Wrong Product"/>
    <s v="Direct"/>
    <s v="Default_Campaign"/>
    <s v="SAVE23"/>
    <n v="0"/>
    <n v="0"/>
    <x v="4"/>
    <n v="1407.02"/>
    <n v="0"/>
    <n v="98.49"/>
    <n v="42.39"/>
    <n v="1547.9"/>
    <n v="774.49"/>
    <n v="731.02"/>
    <n v="47.23"/>
    <n v="6421.42"/>
    <b v="1"/>
    <n v="8"/>
  </r>
  <r>
    <s v="ORD-829854"/>
    <x v="46"/>
    <d v="1899-12-30T11:41:14"/>
    <s v="Returned"/>
    <x v="1"/>
    <x v="49"/>
    <s v="Matthew Richardson"/>
    <n v="34"/>
    <s v="Female"/>
    <x v="1"/>
    <s v="Loyal"/>
    <x v="49"/>
    <s v="Victoria"/>
    <s v="Australia"/>
    <x v="1"/>
    <n v="30773"/>
    <x v="0"/>
    <s v="Refunded"/>
    <s v="AUD"/>
    <s v="Standard"/>
    <s v="WH-010"/>
    <s v="Cancelled"/>
    <s v="Returned"/>
    <s v="Damaged Product"/>
    <s v="Direct"/>
    <s v="Default_Campaign"/>
    <s v="SAVE40"/>
    <n v="0"/>
    <n v="0"/>
    <x v="4"/>
    <n v="1615.07"/>
    <n v="0"/>
    <n v="161.51"/>
    <n v="44.6"/>
    <n v="1821.18"/>
    <n v="985.86"/>
    <n v="790.72"/>
    <n v="43.42"/>
    <n v="3328.84"/>
    <b v="1"/>
    <n v="4"/>
  </r>
  <r>
    <s v="ORD-667965"/>
    <x v="47"/>
    <d v="1899-12-30T18:10:34"/>
    <s v="Returned"/>
    <x v="2"/>
    <x v="50"/>
    <s v="Stephanie Evans"/>
    <n v="63"/>
    <s v="Female"/>
    <x v="0"/>
    <s v="Loyal"/>
    <x v="50"/>
    <s v="North Rhine"/>
    <s v="Germany"/>
    <x v="3"/>
    <n v="24304"/>
    <x v="1"/>
    <s v="Refunded"/>
    <s v="EUR"/>
    <s v="Standard"/>
    <s v="WH-015"/>
    <s v="Cancelled"/>
    <s v="Returned"/>
    <s v="Defective Product"/>
    <s v="Referral"/>
    <s v="Friend_Invite"/>
    <s v="SAVE16"/>
    <n v="0"/>
    <n v="0"/>
    <x v="2"/>
    <n v="1669.89"/>
    <n v="0"/>
    <n v="317.27999999999997"/>
    <n v="22.92"/>
    <n v="2010.09"/>
    <n v="938.12"/>
    <n v="1049.05"/>
    <n v="52.19"/>
    <n v="10677.43"/>
    <b v="1"/>
    <n v="10"/>
  </r>
  <r>
    <s v="ORD-957045"/>
    <x v="48"/>
    <d v="1899-12-30T01:00:32"/>
    <s v="Returned"/>
    <x v="3"/>
    <x v="51"/>
    <s v="Tracy Mora"/>
    <n v="63"/>
    <s v="Non-Binary"/>
    <x v="0"/>
    <s v="Loyal"/>
    <x v="51"/>
    <s v="North Rhine"/>
    <s v="Germany"/>
    <x v="3"/>
    <n v="98578"/>
    <x v="3"/>
    <s v="Refunded"/>
    <s v="EUR"/>
    <s v="Economy"/>
    <s v="WH-011"/>
    <s v="Cancelled"/>
    <s v="Returned"/>
    <s v="Size Issue"/>
    <s v="Facebook Ads"/>
    <s v="FB_Dynamic"/>
    <s v="SAVE21"/>
    <n v="0"/>
    <n v="0"/>
    <x v="4"/>
    <n v="172.77"/>
    <n v="0"/>
    <n v="32.83"/>
    <n v="7.96"/>
    <n v="213.56"/>
    <n v="72.42"/>
    <n v="133.18"/>
    <n v="62.36"/>
    <n v="12140.98"/>
    <b v="1"/>
    <n v="8"/>
  </r>
  <r>
    <s v="ORD-922283"/>
    <x v="49"/>
    <d v="1899-12-30T06:58:49"/>
    <s v="Returned"/>
    <x v="0"/>
    <x v="52"/>
    <s v="Yvonne Levy"/>
    <n v="48"/>
    <s v="Female"/>
    <x v="0"/>
    <s v="Loyal"/>
    <x v="52"/>
    <s v="Scotland"/>
    <s v="UK"/>
    <x v="4"/>
    <n v="39622"/>
    <x v="1"/>
    <s v="Refunded"/>
    <s v="GBP"/>
    <s v="Standard"/>
    <s v="WH-012"/>
    <s v="Cancelled"/>
    <s v="Returned"/>
    <s v="Changed Mind"/>
    <s v="Google Ads"/>
    <s v="Google_Search_Q1"/>
    <s v="SAVE23"/>
    <n v="0"/>
    <n v="0"/>
    <x v="5"/>
    <n v="425.77"/>
    <n v="0"/>
    <n v="85.16"/>
    <n v="10.59"/>
    <n v="521.52"/>
    <n v="174.39"/>
    <n v="336.54"/>
    <n v="64.53"/>
    <n v="3983.81"/>
    <b v="1"/>
    <n v="6"/>
  </r>
  <r>
    <s v="ORD-748495"/>
    <x v="50"/>
    <d v="1899-12-30T11:29:54"/>
    <s v="Returned"/>
    <x v="1"/>
    <x v="53"/>
    <s v="Jennifer Kirk"/>
    <n v="61"/>
    <s v="Female"/>
    <x v="1"/>
    <s v="Loyal"/>
    <x v="53"/>
    <s v="New York"/>
    <s v="USA"/>
    <x v="0"/>
    <n v="33871"/>
    <x v="6"/>
    <s v="Refunded"/>
    <s v="USD"/>
    <s v="Standard"/>
    <s v="WH-011"/>
    <s v="Cancelled"/>
    <s v="Returned"/>
    <s v="Defective Product"/>
    <s v="Organic Search"/>
    <s v="Default_Campaign"/>
    <s v="SAVE18"/>
    <n v="0"/>
    <n v="0"/>
    <x v="7"/>
    <n v="331.44"/>
    <n v="0"/>
    <n v="23.21"/>
    <n v="23.69"/>
    <n v="378.34"/>
    <n v="143.47999999999999"/>
    <n v="211.17"/>
    <n v="55.81"/>
    <n v="8916.66"/>
    <b v="1"/>
    <n v="11"/>
  </r>
  <r>
    <s v="ORD-857319"/>
    <x v="9"/>
    <d v="1899-12-30T00:44:46"/>
    <s v="Returned"/>
    <x v="1"/>
    <x v="54"/>
    <s v="Michael Brown"/>
    <n v="73"/>
    <s v="Male"/>
    <x v="0"/>
    <s v="Loyal"/>
    <x v="54"/>
    <s v="England"/>
    <s v="UK"/>
    <x v="4"/>
    <n v="17618"/>
    <x v="5"/>
    <s v="Refunded"/>
    <s v="GBP"/>
    <s v="Standard"/>
    <s v="WH-008"/>
    <s v="Cancelled"/>
    <s v="Returned"/>
    <s v="Other"/>
    <s v="TikTok"/>
    <s v="Default_Campaign"/>
    <s v="SAVE38"/>
    <n v="0"/>
    <n v="0"/>
    <x v="0"/>
    <n v="645.97"/>
    <n v="0"/>
    <n v="129.19"/>
    <n v="37.020000000000003"/>
    <n v="812.18"/>
    <n v="279.23"/>
    <n v="495.93"/>
    <n v="61.06"/>
    <n v="11944.44"/>
    <b v="1"/>
    <n v="8"/>
  </r>
  <r>
    <s v="ORD-523654"/>
    <x v="51"/>
    <d v="1899-12-30T22:10:34"/>
    <s v="Returned"/>
    <x v="3"/>
    <x v="55"/>
    <s v="Teresa Davidson"/>
    <n v="40"/>
    <s v="Male"/>
    <x v="0"/>
    <s v="Loyal"/>
    <x v="55"/>
    <s v="Texas"/>
    <s v="USA"/>
    <x v="1"/>
    <n v="72365"/>
    <x v="5"/>
    <s v="Refunded"/>
    <s v="USD"/>
    <s v="Express"/>
    <s v="WH-013"/>
    <s v="Cancelled"/>
    <s v="Returned"/>
    <s v="Product Not as Expected"/>
    <s v="YouTube"/>
    <s v="Default_Campaign"/>
    <s v="SAVE11"/>
    <n v="0"/>
    <n v="0"/>
    <x v="5"/>
    <n v="453.24"/>
    <n v="0"/>
    <n v="31.73"/>
    <n v="20.64"/>
    <n v="505.61"/>
    <n v="188.88"/>
    <n v="296.08999999999997"/>
    <n v="58.56"/>
    <n v="2562.3000000000002"/>
    <b v="1"/>
    <n v="4"/>
  </r>
  <r>
    <s v="ORD-731865"/>
    <x v="52"/>
    <d v="1899-12-30T22:07:18"/>
    <s v="Returned"/>
    <x v="1"/>
    <x v="56"/>
    <s v="Christopher Hernandez"/>
    <n v="67"/>
    <s v="Male"/>
    <x v="0"/>
    <s v="Loyal"/>
    <x v="56"/>
    <s v="Karnataka"/>
    <s v="India"/>
    <x v="1"/>
    <n v="34899"/>
    <x v="4"/>
    <s v="Refunded"/>
    <s v="INR"/>
    <s v="Express"/>
    <s v="WH-012"/>
    <s v="Cancelled"/>
    <s v="Returned"/>
    <s v="Product Not as Expected"/>
    <s v="Instagram"/>
    <s v="Insta_Stories"/>
    <s v="SAVE32"/>
    <n v="0"/>
    <n v="0"/>
    <x v="6"/>
    <n v="260.54000000000002"/>
    <n v="0"/>
    <n v="46.9"/>
    <n v="10.27"/>
    <n v="317.70999999999998"/>
    <n v="97.52"/>
    <n v="209.92"/>
    <n v="66.069999999999993"/>
    <n v="2458.15"/>
    <b v="1"/>
    <n v="4"/>
  </r>
  <r>
    <s v="ORD-551153"/>
    <x v="53"/>
    <d v="1899-12-30T08:19:32"/>
    <s v="Returned"/>
    <x v="0"/>
    <x v="57"/>
    <s v="Ryan Flores"/>
    <n v="48"/>
    <s v="Female"/>
    <x v="0"/>
    <s v="Loyal"/>
    <x v="57"/>
    <s v="England"/>
    <s v="UK"/>
    <x v="4"/>
    <n v="44878"/>
    <x v="4"/>
    <s v="Refunded"/>
    <s v="GBP"/>
    <s v="Express"/>
    <s v="WH-008"/>
    <s v="Cancelled"/>
    <s v="Returned"/>
    <s v="Other"/>
    <s v="Google Ads"/>
    <s v="Google_Shopping"/>
    <s v="SAVE17"/>
    <n v="0"/>
    <n v="0"/>
    <x v="5"/>
    <n v="2379.12"/>
    <n v="0"/>
    <n v="475.82"/>
    <n v="12.42"/>
    <n v="2867.36"/>
    <n v="1034.97"/>
    <n v="1819.97"/>
    <n v="63.47"/>
    <n v="7029.47"/>
    <b v="1"/>
    <n v="6"/>
  </r>
  <r>
    <s v="ORD-403674"/>
    <x v="54"/>
    <d v="1899-12-30T23:29:08"/>
    <s v="Returned"/>
    <x v="0"/>
    <x v="58"/>
    <s v="Brian Hurst"/>
    <n v="21"/>
    <s v="Male"/>
    <x v="2"/>
    <s v="Loyal"/>
    <x v="58"/>
    <s v="California"/>
    <s v="USA"/>
    <x v="3"/>
    <n v="32100"/>
    <x v="5"/>
    <s v="Refunded"/>
    <s v="USD"/>
    <s v="Standard"/>
    <s v="WH-017"/>
    <s v="Cancelled"/>
    <s v="Returned"/>
    <s v="Size Issue"/>
    <s v="Organic Search"/>
    <s v="Default_Campaign"/>
    <s v="SAVE35"/>
    <n v="0"/>
    <n v="0"/>
    <x v="5"/>
    <n v="1180.1300000000001"/>
    <n v="0"/>
    <n v="82.6"/>
    <n v="6.85"/>
    <n v="1269.58"/>
    <n v="552.64"/>
    <n v="710.09"/>
    <n v="55.93"/>
    <n v="6841.34"/>
    <b v="1"/>
    <n v="8"/>
  </r>
  <r>
    <s v="ORD-165650"/>
    <x v="55"/>
    <d v="1899-12-30T08:22:33"/>
    <s v="Returned"/>
    <x v="2"/>
    <x v="59"/>
    <s v="Regina Sullivan"/>
    <n v="70"/>
    <s v="Female"/>
    <x v="1"/>
    <s v="Loyal"/>
    <x v="59"/>
    <s v="Texas"/>
    <s v="USA"/>
    <x v="1"/>
    <n v="76535"/>
    <x v="5"/>
    <s v="Refunded"/>
    <s v="USD"/>
    <s v="Standard"/>
    <s v="WH-014"/>
    <s v="Cancelled"/>
    <s v="Returned"/>
    <s v="Product Not as Expected"/>
    <s v="Organic Search"/>
    <s v="Default_Campaign"/>
    <s v="SAVE40"/>
    <n v="0"/>
    <n v="0"/>
    <x v="6"/>
    <n v="399.73"/>
    <n v="0"/>
    <n v="27.98"/>
    <n v="2.78"/>
    <n v="430.49"/>
    <n v="256.49"/>
    <n v="171.22"/>
    <n v="39.770000000000003"/>
    <n v="14112.17"/>
    <b v="1"/>
    <n v="9"/>
  </r>
  <r>
    <s v="ORD-493344"/>
    <x v="56"/>
    <d v="1899-12-30T19:54:15"/>
    <s v="Returned"/>
    <x v="1"/>
    <x v="60"/>
    <s v="Robin Doyle"/>
    <n v="62"/>
    <s v="Female"/>
    <x v="1"/>
    <s v="Loyal"/>
    <x v="60"/>
    <s v="Pennsylvania"/>
    <s v="USA"/>
    <x v="0"/>
    <n v="31240"/>
    <x v="3"/>
    <s v="Refunded"/>
    <s v="USD"/>
    <s v="Standard"/>
    <s v="WH-011"/>
    <s v="Cancelled"/>
    <s v="Returned"/>
    <s v="Wrong Product"/>
    <s v="Facebook Ads"/>
    <s v="FB_Prospecting"/>
    <s v="SAVE39"/>
    <n v="0"/>
    <n v="0"/>
    <x v="3"/>
    <n v="1844.52"/>
    <n v="0"/>
    <n v="129.12"/>
    <n v="27.39"/>
    <n v="2001.03"/>
    <n v="1011.44"/>
    <n v="962.2"/>
    <n v="48.09"/>
    <n v="3246.67"/>
    <b v="1"/>
    <n v="5"/>
  </r>
  <r>
    <s v="ORD-187054"/>
    <x v="57"/>
    <d v="1899-12-30T06:14:49"/>
    <s v="Returned"/>
    <x v="1"/>
    <x v="61"/>
    <s v="Matthew Cooper"/>
    <n v="73"/>
    <s v="Male"/>
    <x v="1"/>
    <s v="Loyal"/>
    <x v="61"/>
    <s v="Michigan"/>
    <s v="USA"/>
    <x v="2"/>
    <n v="50617"/>
    <x v="3"/>
    <s v="Refunded"/>
    <s v="USD"/>
    <s v="Express"/>
    <s v="WH-004"/>
    <s v="Cancelled"/>
    <s v="Returned"/>
    <s v="Wrong Product"/>
    <s v="Direct"/>
    <s v="Default_Campaign"/>
    <s v="SAVE30"/>
    <n v="0"/>
    <n v="0"/>
    <x v="10"/>
    <n v="1302.48"/>
    <n v="0"/>
    <n v="91.18"/>
    <n v="17.72"/>
    <n v="1411.38"/>
    <n v="674.82"/>
    <n v="718.84"/>
    <n v="50.93"/>
    <n v="4475.2299999999996"/>
    <b v="1"/>
    <n v="6"/>
  </r>
  <r>
    <s v="ORD-937127"/>
    <x v="58"/>
    <d v="1899-12-30T11:38:17"/>
    <s v="Returned"/>
    <x v="2"/>
    <x v="62"/>
    <s v="Rachel Johnson"/>
    <n v="39"/>
    <s v="Female"/>
    <x v="0"/>
    <s v="Loyal"/>
    <x v="62"/>
    <s v="Maharashtra"/>
    <s v="India"/>
    <x v="3"/>
    <n v="55960"/>
    <x v="6"/>
    <s v="Refunded"/>
    <s v="INR"/>
    <s v="Standard"/>
    <s v="WH-013"/>
    <s v="Cancelled"/>
    <s v="Returned"/>
    <s v="Other"/>
    <s v="Organic Search"/>
    <s v="Default_Campaign"/>
    <s v="SAVE15"/>
    <n v="0"/>
    <n v="0"/>
    <x v="11"/>
    <n v="3240.15"/>
    <n v="0"/>
    <n v="583.23"/>
    <n v="35.97"/>
    <n v="3859.35"/>
    <n v="1657.16"/>
    <n v="2166.2199999999998"/>
    <n v="56.13"/>
    <n v="11646.28"/>
    <b v="1"/>
    <n v="6"/>
  </r>
  <r>
    <s v="ORD-354368"/>
    <x v="59"/>
    <d v="1899-12-30T21:45:14"/>
    <s v="Returned"/>
    <x v="2"/>
    <x v="63"/>
    <s v="Brittany Walker"/>
    <n v="31"/>
    <s v="Male"/>
    <x v="2"/>
    <s v="Loyal"/>
    <x v="63"/>
    <s v="New York"/>
    <s v="USA"/>
    <x v="0"/>
    <n v="66700"/>
    <x v="3"/>
    <s v="Refunded"/>
    <s v="USD"/>
    <s v="Economy"/>
    <s v="WH-004"/>
    <s v="Cancelled"/>
    <s v="Returned"/>
    <s v="Other"/>
    <s v="Organic Search"/>
    <s v="Default_Campaign"/>
    <s v="SAVE13"/>
    <n v="0"/>
    <n v="0"/>
    <x v="6"/>
    <n v="146.65"/>
    <n v="0"/>
    <n v="10.27"/>
    <n v="1.01"/>
    <n v="157.93"/>
    <n v="66.75"/>
    <n v="90.17"/>
    <n v="57.09"/>
    <n v="4689.51"/>
    <b v="1"/>
    <n v="7"/>
  </r>
  <r>
    <s v="ORD-805310"/>
    <x v="60"/>
    <d v="1899-12-30T06:41:16"/>
    <s v="Returned"/>
    <x v="1"/>
    <x v="64"/>
    <s v="Timothy Ayala"/>
    <n v="25"/>
    <s v="Male"/>
    <x v="0"/>
    <s v="Returning"/>
    <x v="64"/>
    <s v="Gujarat"/>
    <s v="India"/>
    <x v="3"/>
    <n v="46309"/>
    <x v="3"/>
    <s v="Refunded"/>
    <s v="INR"/>
    <s v="Same Day"/>
    <s v="WH-003"/>
    <s v="Cancelled"/>
    <s v="Returned"/>
    <s v="Changed Mind"/>
    <s v="Google Ads"/>
    <s v="Google_Display"/>
    <s v="SAVE22"/>
    <n v="0"/>
    <n v="0"/>
    <x v="4"/>
    <n v="2709.94"/>
    <n v="0"/>
    <n v="487.8"/>
    <n v="28.65"/>
    <n v="3226.39"/>
    <n v="1391.62"/>
    <n v="1806.12"/>
    <n v="55.98"/>
    <n v="5667.44"/>
    <b v="1"/>
    <n v="2"/>
  </r>
  <r>
    <s v="ORD-904900"/>
    <x v="61"/>
    <d v="1899-12-30T20:16:50"/>
    <s v="Returned"/>
    <x v="0"/>
    <x v="65"/>
    <s v="Andrew Lloyd"/>
    <n v="47"/>
    <s v="Male"/>
    <x v="0"/>
    <s v="Loyal"/>
    <x v="65"/>
    <s v="Michigan"/>
    <s v="USA"/>
    <x v="2"/>
    <n v="20537"/>
    <x v="4"/>
    <s v="Refunded"/>
    <s v="USD"/>
    <s v="Standard"/>
    <s v="WH-016"/>
    <s v="Cancelled"/>
    <s v="Returned"/>
    <s v="Defective Product"/>
    <s v="Organic Search"/>
    <s v="Default_Campaign"/>
    <s v="SAVE11"/>
    <n v="0"/>
    <n v="0"/>
    <x v="5"/>
    <n v="2213.9699999999998"/>
    <n v="0"/>
    <n v="154.97999999999999"/>
    <n v="12.57"/>
    <n v="2381.52"/>
    <n v="1095.6400000000001"/>
    <n v="1273.31"/>
    <n v="53.47"/>
    <n v="7578.07"/>
    <b v="1"/>
    <n v="5"/>
  </r>
  <r>
    <s v="ORD-197091"/>
    <x v="62"/>
    <d v="1899-12-30T14:01:39"/>
    <s v="Returned"/>
    <x v="0"/>
    <x v="66"/>
    <s v="Noah Cooper"/>
    <n v="36"/>
    <s v="Female"/>
    <x v="1"/>
    <s v="Loyal"/>
    <x v="66"/>
    <s v="Hesse"/>
    <s v="Germany"/>
    <x v="2"/>
    <n v="25730"/>
    <x v="5"/>
    <s v="Refunded"/>
    <s v="EUR"/>
    <s v="Standard"/>
    <s v="WH-009"/>
    <s v="Cancelled"/>
    <s v="Returned"/>
    <s v="Product Not as Expected"/>
    <s v="Email Marketing"/>
    <s v="Promo_Email"/>
    <s v="SAVE23"/>
    <n v="0"/>
    <n v="0"/>
    <x v="3"/>
    <n v="541.19000000000005"/>
    <n v="0"/>
    <n v="102.82"/>
    <n v="6.98"/>
    <n v="650.99"/>
    <n v="233.73"/>
    <n v="410.28"/>
    <n v="63.02"/>
    <n v="7984.51"/>
    <b v="1"/>
    <n v="8"/>
  </r>
  <r>
    <s v="ORD-731058"/>
    <x v="15"/>
    <d v="1899-12-30T13:21:17"/>
    <s v="Returned"/>
    <x v="1"/>
    <x v="67"/>
    <s v="Brandi Moore"/>
    <n v="72"/>
    <s v="Female"/>
    <x v="3"/>
    <s v="New"/>
    <x v="67"/>
    <s v="Florida"/>
    <s v="USA"/>
    <x v="1"/>
    <n v="49735"/>
    <x v="1"/>
    <s v="Refunded"/>
    <s v="USD"/>
    <s v="Standard"/>
    <s v="WH-018"/>
    <s v="Cancelled"/>
    <s v="Returned"/>
    <s v="Changed Mind"/>
    <s v="Affiliate"/>
    <s v="Affiliate_Partner"/>
    <s v="SAVE49"/>
    <n v="0"/>
    <n v="0"/>
    <x v="5"/>
    <n v="645.55999999999995"/>
    <n v="0"/>
    <n v="45.18"/>
    <n v="18.989999999999998"/>
    <n v="709.73"/>
    <n v="221.68"/>
    <n v="469.06"/>
    <n v="66.09"/>
    <n v="709.73"/>
    <b v="0"/>
    <n v="1"/>
  </r>
  <r>
    <s v="ORD-551727"/>
    <x v="63"/>
    <d v="1899-12-30T06:12:27"/>
    <s v="Returned"/>
    <x v="0"/>
    <x v="68"/>
    <s v="Phillip Martinez"/>
    <n v="69"/>
    <s v="Male"/>
    <x v="3"/>
    <s v="Loyal"/>
    <x v="68"/>
    <s v="British Columbia"/>
    <s v="Canada"/>
    <x v="3"/>
    <n v="82348"/>
    <x v="6"/>
    <s v="Refunded"/>
    <s v="CAD"/>
    <s v="Standard"/>
    <s v="WH-008"/>
    <s v="Cancelled"/>
    <s v="Returned"/>
    <s v="Product Not as Expected"/>
    <s v="Facebook Ads"/>
    <s v="FB_Prospecting"/>
    <s v="SAVE23"/>
    <n v="0"/>
    <n v="0"/>
    <x v="6"/>
    <n v="64.52"/>
    <n v="0"/>
    <n v="8.39"/>
    <n v="7.19"/>
    <n v="80.099999999999994"/>
    <n v="34.07"/>
    <n v="38.840000000000003"/>
    <n v="48.49"/>
    <n v="9178.23"/>
    <b v="1"/>
    <n v="8"/>
  </r>
  <r>
    <s v="ORD-514146"/>
    <x v="64"/>
    <d v="1899-12-30T04:19:22"/>
    <s v="Returned"/>
    <x v="1"/>
    <x v="69"/>
    <s v="Julie Blackwell"/>
    <n v="67"/>
    <s v="Male"/>
    <x v="3"/>
    <s v="Loyal"/>
    <x v="69"/>
    <s v="Hesse"/>
    <s v="Germany"/>
    <x v="2"/>
    <n v="76390"/>
    <x v="5"/>
    <s v="Refunded"/>
    <s v="EUR"/>
    <s v="Economy"/>
    <s v="WH-002"/>
    <s v="Cancelled"/>
    <s v="Returned"/>
    <s v="Other"/>
    <s v="Facebook Ads"/>
    <s v="FB_Prospecting"/>
    <s v="SAVE25"/>
    <n v="0"/>
    <n v="0"/>
    <x v="7"/>
    <n v="409.85"/>
    <n v="0"/>
    <n v="77.87"/>
    <n v="6.15"/>
    <n v="493.87"/>
    <n v="162.08000000000001"/>
    <n v="325.64"/>
    <n v="65.94"/>
    <n v="10358.51"/>
    <b v="1"/>
    <n v="8"/>
  </r>
  <r>
    <s v="ORD-331126"/>
    <x v="65"/>
    <d v="1899-12-30T11:30:29"/>
    <s v="Returned"/>
    <x v="0"/>
    <x v="70"/>
    <s v="Alex Jefferson"/>
    <n v="70"/>
    <s v="Female"/>
    <x v="0"/>
    <s v="Loyal"/>
    <x v="70"/>
    <s v="North Rhine"/>
    <s v="Germany"/>
    <x v="3"/>
    <n v="68109"/>
    <x v="3"/>
    <s v="Refunded"/>
    <s v="EUR"/>
    <s v="Standard"/>
    <s v="WH-014"/>
    <s v="Cancelled"/>
    <s v="Returned"/>
    <s v="Size Issue"/>
    <s v="Direct"/>
    <s v="Default_Campaign"/>
    <s v="SAVE34"/>
    <n v="0"/>
    <n v="0"/>
    <x v="4"/>
    <n v="1538.64"/>
    <n v="0"/>
    <n v="292.35000000000002"/>
    <n v="22.63"/>
    <n v="1853.62"/>
    <n v="750.2"/>
    <n v="1080.79"/>
    <n v="58.31"/>
    <n v="4321.04"/>
    <b v="1"/>
    <n v="4"/>
  </r>
  <r>
    <s v="ORD-212383"/>
    <x v="66"/>
    <d v="1899-12-30T20:31:13"/>
    <s v="Returned"/>
    <x v="0"/>
    <x v="71"/>
    <s v="Bradley Roy"/>
    <n v="66"/>
    <s v="Female"/>
    <x v="0"/>
    <s v="Loyal"/>
    <x v="71"/>
    <s v="British Columbia"/>
    <s v="Canada"/>
    <x v="3"/>
    <n v="39203"/>
    <x v="5"/>
    <s v="Refunded"/>
    <s v="CAD"/>
    <s v="Express"/>
    <s v="WH-001"/>
    <s v="Cancelled"/>
    <s v="Returned"/>
    <s v="Product Not as Expected"/>
    <s v="Referral"/>
    <s v="Referral_Program"/>
    <s v="SAVE25"/>
    <n v="0"/>
    <n v="0"/>
    <x v="8"/>
    <n v="2218.58"/>
    <n v="0"/>
    <n v="288.42"/>
    <n v="31.7"/>
    <n v="2538.6999999999998"/>
    <n v="1016.85"/>
    <n v="1490.15"/>
    <n v="58.7"/>
    <n v="9283.2099999999991"/>
    <b v="1"/>
    <n v="7"/>
  </r>
  <r>
    <s v="ORD-236509"/>
    <x v="67"/>
    <d v="1899-12-30T14:17:48"/>
    <s v="Returned"/>
    <x v="1"/>
    <x v="72"/>
    <s v="Cassandra Weaver"/>
    <n v="30"/>
    <s v="Female"/>
    <x v="0"/>
    <s v="Loyal"/>
    <x v="72"/>
    <s v="Pennsylvania"/>
    <s v="USA"/>
    <x v="0"/>
    <n v="88346"/>
    <x v="2"/>
    <s v="Refunded"/>
    <s v="USD"/>
    <s v="Standard"/>
    <s v="WH-013"/>
    <s v="Cancelled"/>
    <s v="Returned"/>
    <s v="Late Delivery"/>
    <s v="Direct"/>
    <s v="Default_Campaign"/>
    <s v="SAVE13"/>
    <n v="0"/>
    <n v="0"/>
    <x v="9"/>
    <n v="330.84"/>
    <n v="0"/>
    <n v="23.16"/>
    <n v="6.35"/>
    <n v="360.35"/>
    <n v="139.66"/>
    <n v="214.34"/>
    <n v="59.48"/>
    <n v="14739.13"/>
    <b v="1"/>
    <n v="6"/>
  </r>
  <r>
    <s v="ORD-772807"/>
    <x v="24"/>
    <d v="1899-12-30T01:06:27"/>
    <s v="Returned"/>
    <x v="1"/>
    <x v="73"/>
    <s v="Sean Garcia"/>
    <n v="50"/>
    <s v="Female"/>
    <x v="1"/>
    <s v="Loyal"/>
    <x v="73"/>
    <s v="Florida"/>
    <s v="USA"/>
    <x v="1"/>
    <n v="77192"/>
    <x v="5"/>
    <s v="Refunded"/>
    <s v="USD"/>
    <s v="Standard"/>
    <s v="WH-005"/>
    <s v="Cancelled"/>
    <s v="Returned"/>
    <s v="Other"/>
    <s v="Email Marketing"/>
    <s v="Promo_Email"/>
    <s v="SAVE38"/>
    <n v="0"/>
    <n v="0"/>
    <x v="4"/>
    <n v="1291.77"/>
    <n v="0"/>
    <n v="90.42"/>
    <n v="8.84"/>
    <n v="1391.03"/>
    <n v="660.37"/>
    <n v="721.82"/>
    <n v="51.89"/>
    <n v="5802.9"/>
    <b v="1"/>
    <n v="5"/>
  </r>
  <r>
    <s v="ORD-938317"/>
    <x v="68"/>
    <d v="1899-12-30T02:46:24"/>
    <s v="Returned"/>
    <x v="0"/>
    <x v="74"/>
    <s v="Joseph Estrada"/>
    <n v="39"/>
    <s v="Female"/>
    <x v="0"/>
    <s v="Loyal"/>
    <x v="74"/>
    <s v="Wales"/>
    <s v="UK"/>
    <x v="3"/>
    <n v="63657"/>
    <x v="5"/>
    <s v="Refunded"/>
    <s v="GBP"/>
    <s v="Standard"/>
    <s v="WH-009"/>
    <s v="Cancelled"/>
    <s v="Returned"/>
    <s v="Wrong Product"/>
    <s v="Organic Search"/>
    <s v="Default_Campaign"/>
    <s v="SAVE26"/>
    <n v="0"/>
    <n v="0"/>
    <x v="9"/>
    <n v="118.5"/>
    <n v="0"/>
    <n v="23.7"/>
    <n v="4.68"/>
    <n v="146.88"/>
    <n v="72.56"/>
    <n v="69.64"/>
    <n v="47.41"/>
    <n v="9100.4699999999993"/>
    <b v="1"/>
    <n v="8"/>
  </r>
  <r>
    <s v="ORD-935856"/>
    <x v="12"/>
    <d v="1899-12-30T15:23:48"/>
    <s v="Returned"/>
    <x v="0"/>
    <x v="75"/>
    <s v="Elizabeth Ferguson"/>
    <n v="31"/>
    <s v="Female"/>
    <x v="0"/>
    <s v="Loyal"/>
    <x v="75"/>
    <s v="North Carolina"/>
    <s v="USA"/>
    <x v="1"/>
    <n v="34194"/>
    <x v="0"/>
    <s v="Refunded"/>
    <s v="USD"/>
    <s v="Express"/>
    <s v="WH-013"/>
    <s v="Cancelled"/>
    <s v="Returned"/>
    <s v="Damaged Product"/>
    <s v="Organic Search"/>
    <s v="Default_Campaign"/>
    <s v="SAVE18"/>
    <n v="0"/>
    <n v="0"/>
    <x v="5"/>
    <n v="665.52"/>
    <n v="0"/>
    <n v="46.59"/>
    <n v="32.81"/>
    <n v="744.92"/>
    <n v="276.35000000000002"/>
    <n v="435.76"/>
    <n v="58.5"/>
    <n v="10833.7"/>
    <b v="1"/>
    <n v="6"/>
  </r>
  <r>
    <s v="ORD-234496"/>
    <x v="69"/>
    <d v="1899-12-30T15:28:53"/>
    <s v="Returned"/>
    <x v="3"/>
    <x v="76"/>
    <s v="Timothy Turner"/>
    <n v="52"/>
    <s v="Female"/>
    <x v="1"/>
    <s v="Loyal"/>
    <x v="76"/>
    <s v="California"/>
    <s v="USA"/>
    <x v="3"/>
    <n v="36136"/>
    <x v="5"/>
    <s v="Refunded"/>
    <s v="USD"/>
    <s v="Standard"/>
    <s v="WH-010"/>
    <s v="Cancelled"/>
    <s v="Returned"/>
    <s v="Size Issue"/>
    <s v="Organic Search"/>
    <s v="Default_Campaign"/>
    <s v="SAVE17"/>
    <n v="0"/>
    <n v="0"/>
    <x v="5"/>
    <n v="534.54"/>
    <n v="0"/>
    <n v="37.409999999999997"/>
    <n v="9.5399999999999991"/>
    <n v="581.49"/>
    <n v="263.18"/>
    <n v="308.77"/>
    <n v="53.1"/>
    <n v="14695.99"/>
    <b v="1"/>
    <n v="13"/>
  </r>
  <r>
    <s v="ORD-264949"/>
    <x v="70"/>
    <d v="1899-12-30T11:13:17"/>
    <s v="Returned"/>
    <x v="1"/>
    <x v="77"/>
    <s v="Diane Douglas"/>
    <n v="23"/>
    <s v="Female"/>
    <x v="0"/>
    <s v="Loyal"/>
    <x v="77"/>
    <s v="California"/>
    <s v="USA"/>
    <x v="3"/>
    <n v="65372"/>
    <x v="4"/>
    <s v="Refunded"/>
    <s v="USD"/>
    <s v="Economy"/>
    <s v="WH-019"/>
    <s v="Cancelled"/>
    <s v="Returned"/>
    <s v="Changed Mind"/>
    <s v="Email Marketing"/>
    <s v="Abandoned_Cart"/>
    <s v="SAVE20"/>
    <n v="0"/>
    <n v="0"/>
    <x v="7"/>
    <n v="1109.68"/>
    <n v="0"/>
    <n v="77.67"/>
    <n v="33.11"/>
    <n v="1220.46"/>
    <n v="653.78"/>
    <n v="533.57000000000005"/>
    <n v="43.72"/>
    <n v="14099.48"/>
    <b v="1"/>
    <n v="9"/>
  </r>
  <r>
    <s v="ORD-597493"/>
    <x v="71"/>
    <d v="1899-12-30T04:15:31"/>
    <s v="Returned"/>
    <x v="1"/>
    <x v="78"/>
    <s v="William Davis"/>
    <n v="29"/>
    <s v="Female"/>
    <x v="0"/>
    <s v="Loyal"/>
    <x v="78"/>
    <s v="Manitoba"/>
    <s v="Canada"/>
    <x v="2"/>
    <n v="83172"/>
    <x v="5"/>
    <s v="Refunded"/>
    <s v="CAD"/>
    <s v="Express"/>
    <s v="WH-006"/>
    <s v="Cancelled"/>
    <s v="Returned"/>
    <s v="Defective Product"/>
    <s v="Organic Search"/>
    <s v="Default_Campaign"/>
    <s v="SAVE37"/>
    <n v="0"/>
    <n v="0"/>
    <x v="9"/>
    <n v="113.84"/>
    <n v="0"/>
    <n v="14.8"/>
    <n v="21.49"/>
    <n v="150.13"/>
    <n v="45.95"/>
    <n v="82.69"/>
    <n v="55.08"/>
    <n v="9012.57"/>
    <b v="1"/>
    <n v="6"/>
  </r>
  <r>
    <s v="ORD-603353"/>
    <x v="72"/>
    <d v="1899-12-30T14:12:53"/>
    <s v="Returned"/>
    <x v="1"/>
    <x v="79"/>
    <s v="Anthony Bryant"/>
    <n v="54"/>
    <s v="Male"/>
    <x v="0"/>
    <s v="Loyal"/>
    <x v="79"/>
    <s v="North Carolina"/>
    <s v="USA"/>
    <x v="1"/>
    <n v="84673"/>
    <x v="5"/>
    <s v="Refunded"/>
    <s v="USD"/>
    <s v="Standard"/>
    <s v="WH-006"/>
    <s v="Cancelled"/>
    <s v="Returned"/>
    <s v="Damaged Product"/>
    <s v="Google Ads"/>
    <s v="Google_Shopping"/>
    <s v="SAVE40"/>
    <n v="0"/>
    <n v="0"/>
    <x v="7"/>
    <n v="784.81"/>
    <n v="0"/>
    <n v="54.93"/>
    <n v="20.62"/>
    <n v="860.36"/>
    <n v="360.91"/>
    <n v="478.83"/>
    <n v="55.65"/>
    <n v="5950.63"/>
    <b v="1"/>
    <n v="7"/>
  </r>
  <r>
    <s v="ORD-538631"/>
    <x v="73"/>
    <d v="1899-12-30T02:46:03"/>
    <s v="Returned"/>
    <x v="3"/>
    <x v="80"/>
    <s v="Edward Johnson"/>
    <n v="68"/>
    <s v="Male"/>
    <x v="2"/>
    <s v="Loyal"/>
    <x v="80"/>
    <s v="California"/>
    <s v="USA"/>
    <x v="3"/>
    <n v="60161"/>
    <x v="5"/>
    <s v="Refunded"/>
    <s v="USD"/>
    <s v="Express"/>
    <s v="WH-009"/>
    <s v="Cancelled"/>
    <s v="Returned"/>
    <s v="Wrong Product"/>
    <s v="Organic Search"/>
    <s v="Default_Campaign"/>
    <s v="SAVE10"/>
    <n v="0"/>
    <n v="0"/>
    <x v="6"/>
    <n v="265.39"/>
    <n v="0"/>
    <n v="18.579999999999998"/>
    <n v="12.46"/>
    <n v="296.43"/>
    <n v="117.34"/>
    <n v="166.63"/>
    <n v="56.21"/>
    <n v="5304.38"/>
    <b v="1"/>
    <n v="6"/>
  </r>
  <r>
    <s v="ORD-591352"/>
    <x v="74"/>
    <d v="1899-12-30T02:27:15"/>
    <s v="Returned"/>
    <x v="2"/>
    <x v="81"/>
    <s v="Holly Gilbert"/>
    <n v="59"/>
    <s v="Male"/>
    <x v="0"/>
    <s v="Loyal"/>
    <x v="81"/>
    <s v="Scotland"/>
    <s v="UK"/>
    <x v="4"/>
    <n v="21137"/>
    <x v="4"/>
    <s v="Refunded"/>
    <s v="GBP"/>
    <s v="Economy"/>
    <s v="WH-013"/>
    <s v="Cancelled"/>
    <s v="Returned"/>
    <s v="Wrong Product"/>
    <s v="Email Marketing"/>
    <s v="Promo_Email"/>
    <s v="SAVE30"/>
    <n v="0"/>
    <n v="0"/>
    <x v="5"/>
    <n v="1402.12"/>
    <n v="0"/>
    <n v="280.42"/>
    <n v="27.97"/>
    <n v="1710.51"/>
    <n v="631.78"/>
    <n v="1050.76"/>
    <n v="61.43"/>
    <n v="6480.11"/>
    <b v="1"/>
    <n v="5"/>
  </r>
  <r>
    <s v="ORD-867581"/>
    <x v="75"/>
    <d v="1899-12-30T07:25:06"/>
    <s v="Returned"/>
    <x v="1"/>
    <x v="82"/>
    <s v="James Alexander"/>
    <n v="73"/>
    <s v="Female"/>
    <x v="0"/>
    <s v="Loyal"/>
    <x v="82"/>
    <s v="Wales"/>
    <s v="UK"/>
    <x v="3"/>
    <n v="6756"/>
    <x v="3"/>
    <s v="Refunded"/>
    <s v="GBP"/>
    <s v="Standard"/>
    <s v="WH-002"/>
    <s v="Cancelled"/>
    <s v="Returned"/>
    <s v="Defective Product"/>
    <s v="Organic Search"/>
    <s v="Default_Campaign"/>
    <s v="SAVE35"/>
    <n v="0"/>
    <n v="0"/>
    <x v="1"/>
    <n v="4420.63"/>
    <n v="0"/>
    <n v="884.12"/>
    <n v="22.92"/>
    <n v="5327.67"/>
    <n v="2452.7600000000002"/>
    <n v="2851.99"/>
    <n v="53.53"/>
    <n v="12426.46"/>
    <b v="1"/>
    <n v="6"/>
  </r>
  <r>
    <s v="ORD-506633"/>
    <x v="76"/>
    <d v="1899-12-30T02:15:27"/>
    <s v="Returned"/>
    <x v="1"/>
    <x v="83"/>
    <s v="Rebecca Guerrero"/>
    <n v="26"/>
    <s v="Male"/>
    <x v="0"/>
    <s v="Loyal"/>
    <x v="83"/>
    <s v="Georgia"/>
    <s v="USA"/>
    <x v="1"/>
    <n v="5439"/>
    <x v="2"/>
    <s v="Refunded"/>
    <s v="USD"/>
    <s v="Economy"/>
    <s v="WH-018"/>
    <s v="Cancelled"/>
    <s v="Returned"/>
    <s v="Defective Product"/>
    <s v="Organic Search"/>
    <s v="Default_Campaign"/>
    <s v="SAVE38"/>
    <n v="0"/>
    <n v="0"/>
    <x v="0"/>
    <n v="1353.3"/>
    <n v="0"/>
    <n v="94.73"/>
    <n v="6.98"/>
    <n v="1455.01"/>
    <n v="677.85"/>
    <n v="770.18"/>
    <n v="52.93"/>
    <n v="4345.99"/>
    <b v="1"/>
    <n v="6"/>
  </r>
  <r>
    <s v="ORD-162595"/>
    <x v="77"/>
    <d v="1899-12-30T13:42:53"/>
    <s v="Returned"/>
    <x v="1"/>
    <x v="84"/>
    <s v="Jill Pitts"/>
    <n v="44"/>
    <s v="Female"/>
    <x v="1"/>
    <s v="Loyal"/>
    <x v="84"/>
    <s v="Ohio"/>
    <s v="USA"/>
    <x v="2"/>
    <n v="16154"/>
    <x v="2"/>
    <s v="Refunded"/>
    <s v="USD"/>
    <s v="Standard"/>
    <s v="WH-016"/>
    <s v="Cancelled"/>
    <s v="Returned"/>
    <s v="Defective Product"/>
    <s v="Facebook Ads"/>
    <s v="FB_Retargeting"/>
    <s v="SAVE26"/>
    <n v="0"/>
    <n v="0"/>
    <x v="6"/>
    <n v="325.5"/>
    <n v="0"/>
    <n v="22.79"/>
    <n v="3.41"/>
    <n v="351.7"/>
    <n v="204.94"/>
    <n v="143.35"/>
    <n v="40.76"/>
    <n v="7402.41"/>
    <b v="1"/>
    <n v="7"/>
  </r>
  <r>
    <s v="ORD-718601"/>
    <x v="78"/>
    <d v="1899-12-30T07:07:18"/>
    <s v="Returned"/>
    <x v="0"/>
    <x v="85"/>
    <s v="Marcus Mendoza"/>
    <n v="64"/>
    <s v="Female"/>
    <x v="0"/>
    <s v="Returning"/>
    <x v="85"/>
    <s v="Alberta"/>
    <s v="Canada"/>
    <x v="2"/>
    <n v="94529"/>
    <x v="2"/>
    <s v="Refunded"/>
    <s v="CAD"/>
    <s v="Standard"/>
    <s v="WH-006"/>
    <s v="Cancelled"/>
    <s v="Returned"/>
    <s v="Product Not as Expected"/>
    <s v="Instagram"/>
    <s v="Insta_Reels"/>
    <s v="SAVE18"/>
    <n v="0"/>
    <n v="0"/>
    <x v="10"/>
    <n v="2564.96"/>
    <n v="0"/>
    <n v="333.44"/>
    <n v="29.09"/>
    <n v="2927.49"/>
    <n v="1438.44"/>
    <n v="1459.96"/>
    <n v="49.87"/>
    <n v="3186.25"/>
    <b v="1"/>
    <n v="2"/>
  </r>
  <r>
    <s v="ORD-694898"/>
    <x v="79"/>
    <d v="1899-12-30T05:51:39"/>
    <s v="Returned"/>
    <x v="1"/>
    <x v="86"/>
    <s v="Harold Tyler"/>
    <n v="73"/>
    <s v="Female"/>
    <x v="3"/>
    <s v="Loyal"/>
    <x v="86"/>
    <s v="Alberta"/>
    <s v="Canada"/>
    <x v="2"/>
    <n v="68304"/>
    <x v="0"/>
    <s v="Refunded"/>
    <s v="CAD"/>
    <s v="Express"/>
    <s v="WH-015"/>
    <s v="Cancelled"/>
    <s v="Returned"/>
    <s v="Damaged Product"/>
    <s v="Google Ads"/>
    <s v="Google_Search_Q1"/>
    <s v="SAVE36"/>
    <n v="0"/>
    <n v="0"/>
    <x v="0"/>
    <n v="934.13"/>
    <n v="0"/>
    <n v="121.44"/>
    <n v="24.6"/>
    <n v="1080.17"/>
    <n v="439.15"/>
    <n v="616.41999999999996"/>
    <n v="57.07"/>
    <n v="21504.77"/>
    <b v="1"/>
    <n v="8"/>
  </r>
  <r>
    <s v="ORD-818449"/>
    <x v="80"/>
    <d v="1899-12-30T22:47:09"/>
    <s v="Returned"/>
    <x v="0"/>
    <x v="87"/>
    <s v="Ricky Powell"/>
    <n v="38"/>
    <s v="Male"/>
    <x v="3"/>
    <s v="Loyal"/>
    <x v="87"/>
    <s v="Texas"/>
    <s v="USA"/>
    <x v="1"/>
    <n v="12591"/>
    <x v="1"/>
    <s v="Refunded"/>
    <s v="USD"/>
    <s v="Standard"/>
    <s v="WH-012"/>
    <s v="Cancelled"/>
    <s v="Returned"/>
    <s v="Size Issue"/>
    <s v="Organic Search"/>
    <s v="Default_Campaign"/>
    <s v="SAVE37"/>
    <n v="0"/>
    <n v="0"/>
    <x v="3"/>
    <n v="3297.37"/>
    <n v="0"/>
    <n v="230.81"/>
    <n v="24.56"/>
    <n v="3552.74"/>
    <n v="1600.97"/>
    <n v="1927.21"/>
    <n v="54.25"/>
    <n v="8220.06"/>
    <b v="1"/>
    <n v="4"/>
  </r>
  <r>
    <s v="ORD-236998"/>
    <x v="81"/>
    <d v="1899-12-30T07:28:07"/>
    <s v="Returned"/>
    <x v="1"/>
    <x v="88"/>
    <s v="Sandra Hendrix"/>
    <n v="67"/>
    <s v="Male"/>
    <x v="0"/>
    <s v="Loyal"/>
    <x v="88"/>
    <s v="Hesse"/>
    <s v="Germany"/>
    <x v="2"/>
    <n v="52573"/>
    <x v="6"/>
    <s v="Refunded"/>
    <s v="EUR"/>
    <s v="Same Day"/>
    <s v="WH-012"/>
    <s v="Cancelled"/>
    <s v="Returned"/>
    <s v="Defective Product"/>
    <s v="Google Ads"/>
    <s v="Google_Search_Q1"/>
    <s v="SAVE23"/>
    <n v="0"/>
    <n v="0"/>
    <x v="7"/>
    <n v="640.39"/>
    <n v="0"/>
    <n v="121.67"/>
    <n v="37.340000000000003"/>
    <n v="799.4"/>
    <n v="330.23"/>
    <n v="431.83"/>
    <n v="54.02"/>
    <n v="14741.14"/>
    <b v="1"/>
    <n v="9"/>
  </r>
  <r>
    <s v="ORD-152148"/>
    <x v="82"/>
    <d v="1899-12-30T16:18:06"/>
    <s v="Returned"/>
    <x v="0"/>
    <x v="89"/>
    <s v="Maria Campbell"/>
    <n v="23"/>
    <s v="Female"/>
    <x v="1"/>
    <s v="Loyal"/>
    <x v="89"/>
    <s v="Georgia"/>
    <s v="USA"/>
    <x v="1"/>
    <n v="14322"/>
    <x v="5"/>
    <s v="Refunded"/>
    <s v="USD"/>
    <s v="Standard"/>
    <s v="WH-019"/>
    <s v="Cancelled"/>
    <s v="Returned"/>
    <s v="Late Delivery"/>
    <s v="Facebook Ads"/>
    <s v="FB_Dynamic"/>
    <s v="SAVE23"/>
    <n v="0"/>
    <n v="0"/>
    <x v="7"/>
    <n v="847.34"/>
    <n v="0"/>
    <n v="59.31"/>
    <n v="6.94"/>
    <n v="913.59"/>
    <n v="341.31"/>
    <n v="565.34"/>
    <n v="61.88"/>
    <n v="15568.6"/>
    <b v="1"/>
    <n v="8"/>
  </r>
  <r>
    <s v="ORD-998502"/>
    <x v="83"/>
    <d v="1899-12-30T01:31:32"/>
    <s v="Returned"/>
    <x v="3"/>
    <x v="90"/>
    <s v="Tiffany Brown"/>
    <n v="68"/>
    <s v="Male"/>
    <x v="2"/>
    <s v="Loyal"/>
    <x v="90"/>
    <s v="Florida"/>
    <s v="USA"/>
    <x v="1"/>
    <n v="18933"/>
    <x v="3"/>
    <s v="Refunded"/>
    <s v="USD"/>
    <s v="Standard"/>
    <s v="WH-010"/>
    <s v="Cancelled"/>
    <s v="Returned"/>
    <s v="Wrong Product"/>
    <s v="Facebook Ads"/>
    <s v="FB_Prospecting"/>
    <s v="SAVE26"/>
    <n v="0"/>
    <n v="0"/>
    <x v="3"/>
    <n v="2115.11"/>
    <n v="0"/>
    <n v="148.06"/>
    <n v="18.329999999999998"/>
    <n v="2281.5"/>
    <n v="972.73"/>
    <n v="1290.44"/>
    <n v="56.56"/>
    <n v="18606.95"/>
    <b v="1"/>
    <n v="9"/>
  </r>
  <r>
    <s v="ORD-296089"/>
    <x v="84"/>
    <d v="1899-12-30T23:52:15"/>
    <s v="Returned"/>
    <x v="1"/>
    <x v="91"/>
    <s v="Melissa Jensen"/>
    <n v="73"/>
    <s v="Female"/>
    <x v="1"/>
    <s v="Loyal"/>
    <x v="91"/>
    <s v="Pennsylvania"/>
    <s v="USA"/>
    <x v="0"/>
    <n v="41489"/>
    <x v="3"/>
    <s v="Refunded"/>
    <s v="USD"/>
    <s v="Standard"/>
    <s v="WH-015"/>
    <s v="Cancelled"/>
    <s v="Returned"/>
    <s v="Late Delivery"/>
    <s v="Organic Search"/>
    <s v="Default_Campaign"/>
    <s v="SAVE34"/>
    <n v="0"/>
    <n v="0"/>
    <x v="5"/>
    <n v="786.39"/>
    <n v="0"/>
    <n v="55.05"/>
    <n v="14.88"/>
    <n v="856.32"/>
    <n v="315.06"/>
    <n v="526.38"/>
    <n v="61.47"/>
    <n v="6287.91"/>
    <b v="1"/>
    <n v="10"/>
  </r>
  <r>
    <s v="ORD-358742"/>
    <x v="85"/>
    <d v="1899-12-30T12:59:46"/>
    <s v="Returned"/>
    <x v="0"/>
    <x v="92"/>
    <s v="Denise Phillips"/>
    <n v="73"/>
    <s v="Female"/>
    <x v="3"/>
    <s v="Loyal"/>
    <x v="92"/>
    <s v="North Rhine"/>
    <s v="Germany"/>
    <x v="3"/>
    <n v="19038"/>
    <x v="5"/>
    <s v="Refunded"/>
    <s v="EUR"/>
    <s v="Economy"/>
    <s v="WH-006"/>
    <s v="Cancelled"/>
    <s v="Returned"/>
    <s v="Other"/>
    <s v="Affiliate"/>
    <s v="Influencer_Program"/>
    <s v="SAVE41"/>
    <n v="0"/>
    <n v="0"/>
    <x v="5"/>
    <n v="468.3"/>
    <n v="0"/>
    <n v="88.98"/>
    <n v="7.96"/>
    <n v="565.24"/>
    <n v="196.66"/>
    <n v="360.62"/>
    <n v="63.8"/>
    <n v="10873.34"/>
    <b v="1"/>
    <n v="7"/>
  </r>
  <r>
    <s v="ORD-873024"/>
    <x v="86"/>
    <d v="1899-12-30T12:58:17"/>
    <s v="Returned"/>
    <x v="1"/>
    <x v="93"/>
    <s v="Brandon Gonzalez"/>
    <n v="74"/>
    <s v="Male"/>
    <x v="1"/>
    <s v="Returning"/>
    <x v="93"/>
    <s v="South Australia"/>
    <s v="Australia"/>
    <x v="1"/>
    <n v="42374"/>
    <x v="2"/>
    <s v="Refunded"/>
    <s v="AUD"/>
    <s v="Economy"/>
    <s v="WH-013"/>
    <s v="Cancelled"/>
    <s v="Returned"/>
    <s v="Size Issue"/>
    <s v="Affiliate"/>
    <s v="Affiliate_Partner"/>
    <s v="SAVE15"/>
    <n v="0"/>
    <n v="0"/>
    <x v="9"/>
    <n v="847.24"/>
    <n v="0"/>
    <n v="84.72"/>
    <n v="2.75"/>
    <n v="934.71"/>
    <n v="540.52"/>
    <n v="391.44"/>
    <n v="41.88"/>
    <n v="1720.78"/>
    <b v="1"/>
    <n v="3"/>
  </r>
  <r>
    <s v="ORD-920727"/>
    <x v="87"/>
    <d v="1899-12-30T02:30:11"/>
    <s v="Returned"/>
    <x v="0"/>
    <x v="94"/>
    <s v="Mark Gardner"/>
    <n v="56"/>
    <s v="Male"/>
    <x v="0"/>
    <s v="Loyal"/>
    <x v="94"/>
    <s v="Baden-Württemberg"/>
    <s v="Germany"/>
    <x v="1"/>
    <n v="30573"/>
    <x v="4"/>
    <s v="Refunded"/>
    <s v="EUR"/>
    <s v="Standard"/>
    <s v="WH-013"/>
    <s v="Cancelled"/>
    <s v="Returned"/>
    <s v="Late Delivery"/>
    <s v="Organic Search"/>
    <s v="Default_Campaign"/>
    <s v="SAVE10"/>
    <n v="0"/>
    <n v="0"/>
    <x v="6"/>
    <n v="102.67"/>
    <n v="0"/>
    <n v="19.510000000000002"/>
    <n v="5.0999999999999996"/>
    <n v="127.28"/>
    <n v="47.98"/>
    <n v="74.2"/>
    <n v="58.3"/>
    <n v="4956.99"/>
    <b v="1"/>
    <n v="6"/>
  </r>
  <r>
    <s v="ORD-455175"/>
    <x v="88"/>
    <d v="1899-12-30T20:50:58"/>
    <s v="Returned"/>
    <x v="1"/>
    <x v="95"/>
    <s v="Maria Kim"/>
    <n v="39"/>
    <s v="Male"/>
    <x v="2"/>
    <s v="Loyal"/>
    <x v="95"/>
    <s v="Queensland"/>
    <s v="Australia"/>
    <x v="4"/>
    <n v="38678"/>
    <x v="5"/>
    <s v="Refunded"/>
    <s v="AUD"/>
    <s v="Express"/>
    <s v="WH-003"/>
    <s v="Cancelled"/>
    <s v="Returned"/>
    <s v="Other"/>
    <s v="Affiliate"/>
    <s v="Influencer_Program"/>
    <s v="SAVE33"/>
    <n v="0"/>
    <n v="0"/>
    <x v="2"/>
    <n v="1396.46"/>
    <n v="0"/>
    <n v="139.63999999999999"/>
    <n v="70.180000000000007"/>
    <n v="1606.28"/>
    <n v="702.64"/>
    <n v="833.46"/>
    <n v="51.89"/>
    <n v="12936.4"/>
    <b v="1"/>
    <n v="10"/>
  </r>
  <r>
    <s v="ORD-391848"/>
    <x v="3"/>
    <d v="1899-12-30T22:27:37"/>
    <s v="Returned"/>
    <x v="0"/>
    <x v="96"/>
    <s v="Benjamin Williams"/>
    <n v="60"/>
    <s v="Female"/>
    <x v="1"/>
    <s v="Loyal"/>
    <x v="96"/>
    <s v="Scotland"/>
    <s v="UK"/>
    <x v="4"/>
    <n v="56245"/>
    <x v="3"/>
    <s v="Refunded"/>
    <s v="GBP"/>
    <s v="Standard"/>
    <s v="WH-015"/>
    <s v="Cancelled"/>
    <s v="Returned"/>
    <s v="Product Not as Expected"/>
    <s v="Instagram"/>
    <s v="Insta_Stories"/>
    <s v="SAVE45"/>
    <n v="0"/>
    <n v="0"/>
    <x v="2"/>
    <n v="3429.37"/>
    <n v="0"/>
    <n v="685.87"/>
    <n v="12.07"/>
    <n v="4127.3100000000004"/>
    <n v="1802.45"/>
    <n v="2312.79"/>
    <n v="56.04"/>
    <n v="14457.08"/>
    <b v="1"/>
    <n v="11"/>
  </r>
  <r>
    <s v="ORD-462059"/>
    <x v="66"/>
    <d v="1899-12-30T14:38:46"/>
    <s v="Returned"/>
    <x v="0"/>
    <x v="97"/>
    <s v="Alexandra Jones"/>
    <n v="45"/>
    <s v="Female"/>
    <x v="0"/>
    <s v="Loyal"/>
    <x v="97"/>
    <s v="Quebec"/>
    <s v="Canada"/>
    <x v="0"/>
    <n v="26987"/>
    <x v="3"/>
    <s v="Refunded"/>
    <s v="CAD"/>
    <s v="Economy"/>
    <s v="WH-015"/>
    <s v="Cancelled"/>
    <s v="Returned"/>
    <s v="Size Issue"/>
    <s v="Organic Search"/>
    <s v="Default_Campaign"/>
    <s v="SAVE45"/>
    <n v="0"/>
    <n v="0"/>
    <x v="0"/>
    <n v="1336.12"/>
    <n v="0"/>
    <n v="173.69"/>
    <n v="17.329999999999998"/>
    <n v="1527.14"/>
    <n v="684.48"/>
    <n v="825.33"/>
    <n v="54.04"/>
    <n v="9285.4599999999991"/>
    <b v="1"/>
    <n v="9"/>
  </r>
  <r>
    <s v="ORD-525715"/>
    <x v="89"/>
    <d v="1899-12-30T05:25:06"/>
    <s v="Returned"/>
    <x v="0"/>
    <x v="98"/>
    <s v="Amanda Thomas"/>
    <n v="19"/>
    <s v="Male"/>
    <x v="1"/>
    <s v="Loyal"/>
    <x v="98"/>
    <s v="British Columbia"/>
    <s v="Canada"/>
    <x v="3"/>
    <n v="52893"/>
    <x v="5"/>
    <s v="Refunded"/>
    <s v="CAD"/>
    <s v="Express"/>
    <s v="WH-013"/>
    <s v="Cancelled"/>
    <s v="Returned"/>
    <s v="Defective Product"/>
    <s v="Instagram"/>
    <s v="Insta_Stories"/>
    <s v="SAVE28"/>
    <n v="0"/>
    <n v="0"/>
    <x v="5"/>
    <n v="890.86"/>
    <n v="0"/>
    <n v="115.81"/>
    <n v="18.850000000000001"/>
    <n v="1025.52"/>
    <n v="464.41"/>
    <n v="542.26"/>
    <n v="52.88"/>
    <n v="5177.26"/>
    <b v="1"/>
    <n v="7"/>
  </r>
  <r>
    <s v="ORD-991846"/>
    <x v="90"/>
    <d v="1899-12-30T06:47:46"/>
    <s v="Returned"/>
    <x v="1"/>
    <x v="99"/>
    <s v="James Franklin"/>
    <n v="40"/>
    <s v="Male"/>
    <x v="2"/>
    <s v="Loyal"/>
    <x v="99"/>
    <s v="Texas"/>
    <s v="USA"/>
    <x v="1"/>
    <n v="85180"/>
    <x v="2"/>
    <s v="Refunded"/>
    <s v="USD"/>
    <s v="Standard"/>
    <s v="WH-014"/>
    <s v="Cancelled"/>
    <s v="Returned"/>
    <s v="Other"/>
    <s v="Direct"/>
    <s v="Default_Campaign"/>
    <s v="SAVE33"/>
    <n v="0"/>
    <n v="0"/>
    <x v="0"/>
    <n v="1797.1"/>
    <n v="0"/>
    <n v="125.79"/>
    <n v="2.94"/>
    <n v="1925.83"/>
    <n v="864.55"/>
    <n v="1058.3399999999999"/>
    <n v="54.96"/>
    <n v="4952.76"/>
    <b v="1"/>
    <n v="5"/>
  </r>
  <r>
    <s v="ORD-721075"/>
    <x v="91"/>
    <d v="1899-12-30T21:18:22"/>
    <s v="Returned"/>
    <x v="0"/>
    <x v="100"/>
    <s v="Kevin Miller"/>
    <n v="47"/>
    <s v="Female"/>
    <x v="2"/>
    <s v="Loyal"/>
    <x v="100"/>
    <s v="Ajman"/>
    <s v="UAE"/>
    <x v="4"/>
    <n v="9372"/>
    <x v="5"/>
    <s v="Refunded"/>
    <s v="AED"/>
    <s v="Economy"/>
    <s v="WH-009"/>
    <s v="Cancelled"/>
    <s v="Returned"/>
    <s v="Size Issue"/>
    <s v="Instagram"/>
    <s v="Insta_Stories"/>
    <s v="SAVE48"/>
    <n v="0"/>
    <n v="0"/>
    <x v="7"/>
    <n v="1245.02"/>
    <n v="0"/>
    <n v="62.25"/>
    <n v="11.2"/>
    <n v="1318.47"/>
    <n v="661.4"/>
    <n v="645.87"/>
    <n v="48.99"/>
    <n v="7847.95"/>
    <b v="1"/>
    <n v="9"/>
  </r>
  <r>
    <s v="ORD-138776"/>
    <x v="92"/>
    <d v="1899-12-30T13:29:17"/>
    <s v="Returned"/>
    <x v="1"/>
    <x v="101"/>
    <s v="Erik Hanson"/>
    <n v="59"/>
    <s v="Female"/>
    <x v="0"/>
    <s v="Loyal"/>
    <x v="101"/>
    <s v="New York"/>
    <s v="USA"/>
    <x v="0"/>
    <n v="22518"/>
    <x v="3"/>
    <s v="Refunded"/>
    <s v="USD"/>
    <s v="Standard"/>
    <s v="WH-010"/>
    <s v="Cancelled"/>
    <s v="Returned"/>
    <s v="Damaged Product"/>
    <s v="Google Ads"/>
    <s v="Google_Display"/>
    <s v="SAVE45"/>
    <n v="0"/>
    <n v="0"/>
    <x v="12"/>
    <n v="4428.0600000000004"/>
    <n v="0"/>
    <n v="309.95999999999998"/>
    <n v="24.08"/>
    <n v="4762.1000000000004"/>
    <n v="2253.09"/>
    <n v="2484.9299999999998"/>
    <n v="52.18"/>
    <n v="15776.31"/>
    <b v="1"/>
    <n v="9"/>
  </r>
  <r>
    <s v="ORD-746549"/>
    <x v="93"/>
    <d v="1899-12-30T06:14:54"/>
    <s v="Returned"/>
    <x v="1"/>
    <x v="102"/>
    <s v="Emily Jackson"/>
    <n v="49"/>
    <s v="Female"/>
    <x v="0"/>
    <s v="Loyal"/>
    <x v="102"/>
    <s v="Sharjah"/>
    <s v="UAE"/>
    <x v="4"/>
    <n v="24231"/>
    <x v="5"/>
    <s v="Refunded"/>
    <s v="AED"/>
    <s v="Express"/>
    <s v="WH-010"/>
    <s v="Cancelled"/>
    <s v="Returned"/>
    <s v="Defective Product"/>
    <s v="Organic Search"/>
    <s v="Default_Campaign"/>
    <s v="SAVE18"/>
    <n v="0"/>
    <n v="0"/>
    <x v="4"/>
    <n v="1239.6400000000001"/>
    <n v="0"/>
    <n v="61.98"/>
    <n v="28.27"/>
    <n v="1329.89"/>
    <n v="542.74"/>
    <n v="758.88"/>
    <n v="57.06"/>
    <n v="10799.93"/>
    <b v="1"/>
    <n v="4"/>
  </r>
  <r>
    <s v="ORD-435278"/>
    <x v="67"/>
    <d v="1899-12-30T00:25:29"/>
    <s v="Returned"/>
    <x v="0"/>
    <x v="103"/>
    <s v="Danielle Johnson"/>
    <n v="24"/>
    <s v="Female"/>
    <x v="0"/>
    <s v="Loyal"/>
    <x v="103"/>
    <s v="New York"/>
    <s v="USA"/>
    <x v="0"/>
    <n v="18761"/>
    <x v="1"/>
    <s v="Refunded"/>
    <s v="USD"/>
    <s v="Standard"/>
    <s v="WH-014"/>
    <s v="Cancelled"/>
    <s v="Returned"/>
    <s v="Defective Product"/>
    <s v="Organic Search"/>
    <s v="Default_Campaign"/>
    <s v="SAVE15"/>
    <n v="0"/>
    <n v="0"/>
    <x v="0"/>
    <n v="1166.58"/>
    <n v="0"/>
    <n v="81.66"/>
    <n v="24.73"/>
    <n v="1272.97"/>
    <n v="545.53"/>
    <n v="702.71"/>
    <n v="55.2"/>
    <n v="12371.04"/>
    <b v="1"/>
    <n v="11"/>
  </r>
  <r>
    <s v="ORD-181148"/>
    <x v="94"/>
    <d v="1899-12-30T18:46:57"/>
    <s v="Returned"/>
    <x v="0"/>
    <x v="104"/>
    <s v="Jamie Rogers"/>
    <n v="27"/>
    <s v="Male"/>
    <x v="2"/>
    <s v="Loyal"/>
    <x v="104"/>
    <s v="England"/>
    <s v="UK"/>
    <x v="4"/>
    <n v="39863"/>
    <x v="5"/>
    <s v="Refunded"/>
    <s v="GBP"/>
    <s v="Economy"/>
    <s v="WH-014"/>
    <s v="Cancelled"/>
    <s v="Returned"/>
    <s v="Wrong Product"/>
    <s v="Direct"/>
    <s v="Default_Campaign"/>
    <s v="SAVE27"/>
    <n v="0"/>
    <n v="0"/>
    <x v="0"/>
    <n v="2260.42"/>
    <n v="0"/>
    <n v="452.08"/>
    <n v="5"/>
    <n v="2717.5"/>
    <n v="1249.8"/>
    <n v="1462.7"/>
    <n v="53.83"/>
    <n v="8802.83"/>
    <b v="1"/>
    <n v="5"/>
  </r>
  <r>
    <s v="ORD-112789"/>
    <x v="95"/>
    <d v="1899-12-30T23:30:24"/>
    <s v="Returned"/>
    <x v="0"/>
    <x v="105"/>
    <s v="Eric Bailey"/>
    <n v="21"/>
    <s v="Female"/>
    <x v="0"/>
    <s v="Loyal"/>
    <x v="105"/>
    <s v="Florida"/>
    <s v="USA"/>
    <x v="1"/>
    <n v="35744"/>
    <x v="5"/>
    <s v="Refunded"/>
    <s v="USD"/>
    <s v="Economy"/>
    <s v="WH-010"/>
    <s v="Cancelled"/>
    <s v="Returned"/>
    <s v="Other"/>
    <s v="Referral"/>
    <s v="Referral_Program"/>
    <s v="SAVE45"/>
    <n v="0"/>
    <n v="0"/>
    <x v="6"/>
    <n v="159.99"/>
    <n v="0"/>
    <n v="11.2"/>
    <n v="3.33"/>
    <n v="174.52"/>
    <n v="50.1"/>
    <n v="121.09"/>
    <n v="69.38"/>
    <n v="4207.45"/>
    <b v="1"/>
    <n v="4"/>
  </r>
  <r>
    <s v="ORD-129186"/>
    <x v="69"/>
    <d v="1899-12-30T04:13:49"/>
    <s v="Returned"/>
    <x v="0"/>
    <x v="106"/>
    <s v="Ralph Mayo"/>
    <n v="50"/>
    <s v="Male"/>
    <x v="0"/>
    <s v="Loyal"/>
    <x v="106"/>
    <s v="Pennsylvania"/>
    <s v="USA"/>
    <x v="0"/>
    <n v="46252"/>
    <x v="2"/>
    <s v="Refunded"/>
    <s v="USD"/>
    <s v="Standard"/>
    <s v="WH-008"/>
    <s v="Cancelled"/>
    <s v="Returned"/>
    <s v="Late Delivery"/>
    <s v="Email Marketing"/>
    <s v="Abandoned_Cart"/>
    <s v="SAVE46"/>
    <n v="0"/>
    <n v="0"/>
    <x v="7"/>
    <n v="399.33"/>
    <n v="0"/>
    <n v="27.95"/>
    <n v="11.77"/>
    <n v="439.05"/>
    <n v="159.38999999999999"/>
    <n v="267.89"/>
    <n v="61.02"/>
    <n v="12794.44"/>
    <b v="1"/>
    <n v="9"/>
  </r>
  <r>
    <s v="ORD-284545"/>
    <x v="96"/>
    <d v="1899-12-30T02:49:31"/>
    <s v="Returned"/>
    <x v="1"/>
    <x v="107"/>
    <s v="John Morgan"/>
    <n v="47"/>
    <s v="Male"/>
    <x v="1"/>
    <s v="Loyal"/>
    <x v="107"/>
    <s v="North Rhine"/>
    <s v="Germany"/>
    <x v="3"/>
    <n v="7077"/>
    <x v="2"/>
    <s v="Refunded"/>
    <s v="EUR"/>
    <s v="Standard"/>
    <s v="WH-017"/>
    <s v="Cancelled"/>
    <s v="Returned"/>
    <s v="Changed Mind"/>
    <s v="Google Ads"/>
    <s v="Google_Shopping"/>
    <s v="SAVE29"/>
    <n v="0"/>
    <n v="0"/>
    <x v="4"/>
    <n v="881.68"/>
    <n v="0"/>
    <n v="167.51"/>
    <n v="10.11"/>
    <n v="1059.3"/>
    <n v="443.85"/>
    <n v="605.34"/>
    <n v="57.15"/>
    <n v="5515.03"/>
    <b v="1"/>
    <n v="4"/>
  </r>
  <r>
    <s v="ORD-748032"/>
    <x v="97"/>
    <d v="1899-12-30T13:36:36"/>
    <s v="Returned"/>
    <x v="1"/>
    <x v="108"/>
    <s v="Richard Diaz"/>
    <n v="61"/>
    <s v="Female"/>
    <x v="0"/>
    <s v="Loyal"/>
    <x v="108"/>
    <s v="Pennsylvania"/>
    <s v="USA"/>
    <x v="0"/>
    <n v="95181"/>
    <x v="4"/>
    <s v="Refunded"/>
    <s v="USD"/>
    <s v="Standard"/>
    <s v="WH-011"/>
    <s v="Cancelled"/>
    <s v="Returned"/>
    <s v="Product Not as Expected"/>
    <s v="Direct"/>
    <s v="Default_Campaign"/>
    <s v="SAVE47"/>
    <n v="0"/>
    <n v="0"/>
    <x v="7"/>
    <n v="661.68"/>
    <n v="0"/>
    <n v="46.32"/>
    <n v="5.67"/>
    <n v="713.67"/>
    <n v="279.32"/>
    <n v="428.68"/>
    <n v="60.07"/>
    <n v="6543.15"/>
    <b v="1"/>
    <n v="8"/>
  </r>
  <r>
    <s v="ORD-380404"/>
    <x v="98"/>
    <d v="1899-12-30T19:46:24"/>
    <s v="Returned"/>
    <x v="3"/>
    <x v="109"/>
    <s v="Matthew Olson"/>
    <n v="40"/>
    <s v="Male"/>
    <x v="0"/>
    <s v="Returning"/>
    <x v="109"/>
    <s v="New South Wales"/>
    <s v="Australia"/>
    <x v="0"/>
    <n v="28517"/>
    <x v="5"/>
    <s v="Refunded"/>
    <s v="AUD"/>
    <s v="Express"/>
    <s v="WH-006"/>
    <s v="Cancelled"/>
    <s v="Returned"/>
    <s v="Defective Product"/>
    <s v="Direct"/>
    <s v="Default_Campaign"/>
    <s v="SAVE23"/>
    <n v="0"/>
    <n v="0"/>
    <x v="9"/>
    <n v="59.8"/>
    <n v="0"/>
    <n v="5.98"/>
    <n v="45.32"/>
    <n v="111.1"/>
    <n v="26.22"/>
    <n v="39.56"/>
    <n v="35.61"/>
    <n v="453.85"/>
    <b v="1"/>
    <n v="3"/>
  </r>
  <r>
    <s v="ORD-954971"/>
    <x v="99"/>
    <d v="1899-12-30T22:56:24"/>
    <s v="Returned"/>
    <x v="0"/>
    <x v="110"/>
    <s v="Mitchell Shaffer"/>
    <n v="70"/>
    <s v="Male"/>
    <x v="2"/>
    <s v="Loyal"/>
    <x v="110"/>
    <s v="Manitoba"/>
    <s v="Canada"/>
    <x v="2"/>
    <n v="60019"/>
    <x v="3"/>
    <s v="Refunded"/>
    <s v="CAD"/>
    <s v="Same Day"/>
    <s v="WH-008"/>
    <s v="Cancelled"/>
    <s v="Returned"/>
    <s v="Product Not as Expected"/>
    <s v="Google Ads"/>
    <s v="Google_Shopping"/>
    <s v="SAVE13"/>
    <n v="0"/>
    <n v="0"/>
    <x v="4"/>
    <n v="1091.95"/>
    <n v="0"/>
    <n v="141.94999999999999"/>
    <n v="54.09"/>
    <n v="1287.99"/>
    <n v="593.94000000000005"/>
    <n v="639.96"/>
    <n v="49.69"/>
    <n v="5167.33"/>
    <b v="1"/>
    <n v="4"/>
  </r>
  <r>
    <s v="ORD-895080"/>
    <x v="100"/>
    <d v="1899-12-30T09:01:26"/>
    <s v="Returned"/>
    <x v="1"/>
    <x v="111"/>
    <s v="Cynthia Gamble"/>
    <n v="24"/>
    <s v="Male"/>
    <x v="0"/>
    <s v="Loyal"/>
    <x v="111"/>
    <s v="Quebec"/>
    <s v="Canada"/>
    <x v="0"/>
    <n v="46782"/>
    <x v="5"/>
    <s v="Refunded"/>
    <s v="CAD"/>
    <s v="Standard"/>
    <s v="WH-009"/>
    <s v="Cancelled"/>
    <s v="Returned"/>
    <s v="Wrong Product"/>
    <s v="Facebook Ads"/>
    <s v="FB_Retargeting"/>
    <s v="SAVE16"/>
    <n v="0"/>
    <n v="0"/>
    <x v="7"/>
    <n v="2625.12"/>
    <n v="0"/>
    <n v="341.27"/>
    <n v="24.16"/>
    <n v="2990.55"/>
    <n v="1648.97"/>
    <n v="1317.42"/>
    <n v="44.05"/>
    <n v="7005.73"/>
    <b v="1"/>
    <n v="8"/>
  </r>
  <r>
    <s v="ORD-974997"/>
    <x v="57"/>
    <d v="1899-12-30T19:31:55"/>
    <s v="Returned"/>
    <x v="0"/>
    <x v="112"/>
    <s v="Sarah Griffin"/>
    <n v="21"/>
    <s v="Male"/>
    <x v="0"/>
    <s v="Loyal"/>
    <x v="112"/>
    <s v="Illinois"/>
    <s v="USA"/>
    <x v="2"/>
    <n v="69976"/>
    <x v="3"/>
    <s v="Refunded"/>
    <s v="USD"/>
    <s v="Economy"/>
    <s v="WH-003"/>
    <s v="Cancelled"/>
    <s v="Returned"/>
    <s v="Wrong Product"/>
    <s v="Organic Search"/>
    <s v="Default_Campaign"/>
    <s v="SAVE42"/>
    <n v="0"/>
    <n v="0"/>
    <x v="7"/>
    <n v="3303.76"/>
    <n v="0"/>
    <n v="231.26"/>
    <n v="3.29"/>
    <n v="3538.31"/>
    <n v="1501.52"/>
    <n v="2033.5"/>
    <n v="57.47"/>
    <n v="10029.299999999999"/>
    <b v="1"/>
    <n v="8"/>
  </r>
  <r>
    <s v="ORD-264078"/>
    <x v="101"/>
    <d v="1899-12-30T11:43:32"/>
    <s v="Returned"/>
    <x v="1"/>
    <x v="113"/>
    <s v="Aaron Strong"/>
    <n v="43"/>
    <s v="Female"/>
    <x v="2"/>
    <s v="Loyal"/>
    <x v="113"/>
    <s v="Texas"/>
    <s v="USA"/>
    <x v="1"/>
    <n v="26386"/>
    <x v="2"/>
    <s v="Refunded"/>
    <s v="USD"/>
    <s v="Economy"/>
    <s v="WH-002"/>
    <s v="Cancelled"/>
    <s v="Returned"/>
    <s v="Damaged Product"/>
    <s v="Direct"/>
    <s v="Default_Campaign"/>
    <s v="SAVE33"/>
    <n v="0"/>
    <n v="0"/>
    <x v="7"/>
    <n v="370.76"/>
    <n v="0"/>
    <n v="25.95"/>
    <n v="0.26"/>
    <n v="396.97"/>
    <n v="185.24"/>
    <n v="211.47"/>
    <n v="53.27"/>
    <n v="9011.0300000000007"/>
    <b v="1"/>
    <n v="7"/>
  </r>
  <r>
    <s v="ORD-491526"/>
    <x v="102"/>
    <d v="1899-12-30T21:00:59"/>
    <s v="Returned"/>
    <x v="0"/>
    <x v="114"/>
    <s v="Jonathan Bass"/>
    <n v="25"/>
    <s v="Female"/>
    <x v="0"/>
    <s v="Loyal"/>
    <x v="114"/>
    <s v="Florida"/>
    <s v="USA"/>
    <x v="1"/>
    <n v="93970"/>
    <x v="1"/>
    <s v="Refunded"/>
    <s v="USD"/>
    <s v="Express"/>
    <s v="WH-014"/>
    <s v="Cancelled"/>
    <s v="Returned"/>
    <s v="Damaged Product"/>
    <s v="Organic Search"/>
    <s v="Default_Campaign"/>
    <s v="SAVE44"/>
    <n v="0"/>
    <n v="0"/>
    <x v="2"/>
    <n v="1270.5999999999999"/>
    <n v="0"/>
    <n v="88.94"/>
    <n v="29.91"/>
    <n v="1389.45"/>
    <n v="748.96"/>
    <n v="610.58000000000004"/>
    <n v="43.94"/>
    <n v="8151.82"/>
    <b v="1"/>
    <n v="10"/>
  </r>
  <r>
    <s v="ORD-838194"/>
    <x v="103"/>
    <d v="1899-12-30T21:58:35"/>
    <s v="Returned"/>
    <x v="3"/>
    <x v="115"/>
    <s v="Casey Skinner"/>
    <n v="30"/>
    <s v="Female"/>
    <x v="0"/>
    <s v="Loyal"/>
    <x v="115"/>
    <s v="North Carolina"/>
    <s v="USA"/>
    <x v="1"/>
    <n v="85820"/>
    <x v="5"/>
    <s v="Refunded"/>
    <s v="USD"/>
    <s v="Standard"/>
    <s v="WH-013"/>
    <s v="Cancelled"/>
    <s v="Returned"/>
    <s v="Other"/>
    <s v="Referral"/>
    <s v="Referral_Program"/>
    <s v="SAVE13"/>
    <n v="0"/>
    <n v="0"/>
    <x v="5"/>
    <n v="328.12"/>
    <n v="0"/>
    <n v="22.97"/>
    <n v="9.73"/>
    <n v="360.82"/>
    <n v="193.07"/>
    <n v="158.02000000000001"/>
    <n v="43.79"/>
    <n v="10804.11"/>
    <b v="1"/>
    <n v="13"/>
  </r>
  <r>
    <s v="ORD-929663"/>
    <x v="104"/>
    <d v="1899-12-30T14:40:04"/>
    <s v="Returned"/>
    <x v="2"/>
    <x v="116"/>
    <s v="Mary May"/>
    <n v="67"/>
    <s v="Female"/>
    <x v="0"/>
    <s v="Loyal"/>
    <x v="116"/>
    <s v="North Carolina"/>
    <s v="USA"/>
    <x v="1"/>
    <n v="17898"/>
    <x v="5"/>
    <s v="Refunded"/>
    <s v="USD"/>
    <s v="Standard"/>
    <s v="WH-005"/>
    <s v="Cancelled"/>
    <s v="Returned"/>
    <s v="Damaged Product"/>
    <s v="Google Ads"/>
    <s v="Google_Display"/>
    <s v="SAVE37"/>
    <n v="0"/>
    <n v="0"/>
    <x v="10"/>
    <n v="5115.46"/>
    <n v="0"/>
    <n v="358.08"/>
    <n v="20.64"/>
    <n v="5494.18"/>
    <n v="2874.57"/>
    <n v="2598.9699999999998"/>
    <n v="47.3"/>
    <n v="9231.1"/>
    <b v="1"/>
    <n v="5"/>
  </r>
  <r>
    <s v="ORD-417451"/>
    <x v="105"/>
    <d v="1899-12-30T00:10:55"/>
    <s v="Returned"/>
    <x v="1"/>
    <x v="117"/>
    <s v="Amy Camacho"/>
    <n v="68"/>
    <s v="Non-Binary"/>
    <x v="0"/>
    <s v="Loyal"/>
    <x v="117"/>
    <s v="Pennsylvania"/>
    <s v="USA"/>
    <x v="0"/>
    <n v="807"/>
    <x v="5"/>
    <s v="Refunded"/>
    <s v="USD"/>
    <s v="Standard"/>
    <s v="WH-012"/>
    <s v="Cancelled"/>
    <s v="Returned"/>
    <s v="Other"/>
    <s v="Organic Search"/>
    <s v="Default_Campaign"/>
    <s v="SAVE40"/>
    <n v="0"/>
    <n v="0"/>
    <x v="2"/>
    <n v="725.77"/>
    <n v="0"/>
    <n v="50.81"/>
    <n v="24.47"/>
    <n v="801.05"/>
    <n v="257.94"/>
    <n v="518.64"/>
    <n v="64.75"/>
    <n v="21443.45"/>
    <b v="1"/>
    <n v="20"/>
  </r>
  <r>
    <s v="ORD-474321"/>
    <x v="106"/>
    <d v="1899-12-30T03:02:27"/>
    <s v="Returned"/>
    <x v="1"/>
    <x v="118"/>
    <s v="Courtney Day"/>
    <n v="45"/>
    <s v="Male"/>
    <x v="2"/>
    <s v="Loyal"/>
    <x v="118"/>
    <s v="Uttar Pradesh"/>
    <s v="India"/>
    <x v="4"/>
    <n v="16687"/>
    <x v="5"/>
    <s v="Refunded"/>
    <s v="INR"/>
    <s v="Economy"/>
    <s v="WH-008"/>
    <s v="Cancelled"/>
    <s v="Returned"/>
    <s v="Other"/>
    <s v="Direct"/>
    <s v="Default_Campaign"/>
    <s v="SAVE12"/>
    <n v="0"/>
    <n v="0"/>
    <x v="6"/>
    <n v="351.08"/>
    <n v="0"/>
    <n v="63.19"/>
    <n v="0"/>
    <n v="414.27"/>
    <n v="187.15"/>
    <n v="227.12"/>
    <n v="54.82"/>
    <n v="17616.93"/>
    <b v="1"/>
    <n v="8"/>
  </r>
  <r>
    <s v="ORD-344315"/>
    <x v="56"/>
    <d v="1899-12-30T20:55:10"/>
    <s v="Returned"/>
    <x v="2"/>
    <x v="119"/>
    <s v="Jeffrey Love"/>
    <n v="49"/>
    <s v="Male"/>
    <x v="3"/>
    <s v="Loyal"/>
    <x v="119"/>
    <s v="Pennsylvania"/>
    <s v="USA"/>
    <x v="0"/>
    <n v="42105"/>
    <x v="3"/>
    <s v="Refunded"/>
    <s v="USD"/>
    <s v="Standard"/>
    <s v="WH-006"/>
    <s v="Cancelled"/>
    <s v="Returned"/>
    <s v="Other"/>
    <s v="Facebook Ads"/>
    <s v="FB_Retargeting"/>
    <s v="SAVE48"/>
    <n v="0"/>
    <n v="0"/>
    <x v="4"/>
    <n v="1723.04"/>
    <n v="0"/>
    <n v="120.61"/>
    <n v="35.21"/>
    <n v="1878.86"/>
    <n v="929.77"/>
    <n v="913.88"/>
    <n v="48.64"/>
    <n v="17966.61"/>
    <b v="1"/>
    <n v="8"/>
  </r>
  <r>
    <s v="ORD-632992"/>
    <x v="34"/>
    <d v="1899-12-30T07:36:56"/>
    <s v="Returned"/>
    <x v="0"/>
    <x v="120"/>
    <s v="Bridget Acosta"/>
    <n v="51"/>
    <s v="Female"/>
    <x v="0"/>
    <s v="Loyal"/>
    <x v="120"/>
    <s v="New York"/>
    <s v="USA"/>
    <x v="0"/>
    <n v="35299"/>
    <x v="0"/>
    <s v="Refunded"/>
    <s v="USD"/>
    <s v="Express"/>
    <s v="WH-005"/>
    <s v="Cancelled"/>
    <s v="Returned"/>
    <s v="Size Issue"/>
    <s v="Instagram"/>
    <s v="Insta_Reels"/>
    <s v="SAVE29"/>
    <n v="0"/>
    <n v="0"/>
    <x v="11"/>
    <n v="3172.18"/>
    <n v="0"/>
    <n v="222.05"/>
    <n v="47.43"/>
    <n v="3441.66"/>
    <n v="1646.89"/>
    <n v="1747.34"/>
    <n v="50.77"/>
    <n v="11724.59"/>
    <b v="1"/>
    <n v="11"/>
  </r>
  <r>
    <s v="ORD-695203"/>
    <x v="107"/>
    <d v="1899-12-30T02:11:02"/>
    <s v="Returned"/>
    <x v="1"/>
    <x v="121"/>
    <s v="Jason Rodriguez"/>
    <n v="59"/>
    <s v="Male"/>
    <x v="1"/>
    <s v="Loyal"/>
    <x v="121"/>
    <s v="Northern Ireland"/>
    <s v="UK"/>
    <x v="3"/>
    <n v="14287"/>
    <x v="3"/>
    <s v="Refunded"/>
    <s v="GBP"/>
    <s v="Standard"/>
    <s v="WH-003"/>
    <s v="Cancelled"/>
    <s v="Returned"/>
    <s v="Defective Product"/>
    <s v="Organic Search"/>
    <s v="Default_Campaign"/>
    <s v="SAVE27"/>
    <n v="0"/>
    <n v="0"/>
    <x v="8"/>
    <n v="4295.45"/>
    <n v="0"/>
    <n v="859.09"/>
    <n v="23.41"/>
    <n v="5177.95"/>
    <n v="1941.9"/>
    <n v="3212.64"/>
    <n v="62.04"/>
    <n v="22376.06"/>
    <b v="1"/>
    <n v="8"/>
  </r>
  <r>
    <s v="ORD-270132"/>
    <x v="108"/>
    <d v="1899-12-30T21:10:01"/>
    <s v="Returned"/>
    <x v="1"/>
    <x v="122"/>
    <s v="Melissa Washington"/>
    <n v="61"/>
    <s v="Male"/>
    <x v="1"/>
    <s v="Loyal"/>
    <x v="122"/>
    <s v="Florida"/>
    <s v="USA"/>
    <x v="1"/>
    <n v="61598"/>
    <x v="5"/>
    <s v="Refunded"/>
    <s v="USD"/>
    <s v="Express"/>
    <s v="WH-008"/>
    <s v="Cancelled"/>
    <s v="Returned"/>
    <s v="Other"/>
    <s v="Google Ads"/>
    <s v="Google_Shopping"/>
    <s v="SAVE14"/>
    <n v="0"/>
    <n v="0"/>
    <x v="5"/>
    <n v="574.99"/>
    <n v="0"/>
    <n v="40.25"/>
    <n v="14.79"/>
    <n v="630.03"/>
    <n v="224.72"/>
    <n v="390.52"/>
    <n v="61.98"/>
    <n v="7954.96"/>
    <b v="1"/>
    <n v="6"/>
  </r>
  <r>
    <s v="ORD-361491"/>
    <x v="109"/>
    <d v="1899-12-30T12:47:41"/>
    <s v="Returned"/>
    <x v="2"/>
    <x v="123"/>
    <s v="Mitchell Holder"/>
    <n v="36"/>
    <s v="Female"/>
    <x v="1"/>
    <s v="Loyal"/>
    <x v="123"/>
    <s v="Northern Ireland"/>
    <s v="UK"/>
    <x v="3"/>
    <n v="35512"/>
    <x v="4"/>
    <s v="Refunded"/>
    <s v="GBP"/>
    <s v="Standard"/>
    <s v="WH-016"/>
    <s v="Cancelled"/>
    <s v="Returned"/>
    <s v="Defective Product"/>
    <s v="Direct"/>
    <s v="Default_Campaign"/>
    <s v="SAVE21"/>
    <n v="0"/>
    <n v="0"/>
    <x v="13"/>
    <n v="1968.05"/>
    <n v="0"/>
    <n v="393.6"/>
    <n v="31.59"/>
    <n v="2393.2399999999998"/>
    <n v="1016.27"/>
    <n v="1345.38"/>
    <n v="56.22"/>
    <n v="6532.01"/>
    <b v="1"/>
    <n v="5"/>
  </r>
  <r>
    <s v="ORD-194223"/>
    <x v="71"/>
    <d v="1899-12-30T19:21:53"/>
    <s v="Returned"/>
    <x v="0"/>
    <x v="124"/>
    <s v="Jeffrey Weaver"/>
    <n v="37"/>
    <s v="Male"/>
    <x v="0"/>
    <s v="Loyal"/>
    <x v="124"/>
    <s v="Scotland"/>
    <s v="UK"/>
    <x v="4"/>
    <n v="85102"/>
    <x v="0"/>
    <s v="Refunded"/>
    <s v="GBP"/>
    <s v="Economy"/>
    <s v="WH-013"/>
    <s v="Cancelled"/>
    <s v="Returned"/>
    <s v="Size Issue"/>
    <s v="Email Marketing"/>
    <s v="Promo_Email"/>
    <s v="SAVE37"/>
    <n v="0"/>
    <n v="0"/>
    <x v="2"/>
    <n v="1751.56"/>
    <n v="0"/>
    <n v="350.31"/>
    <n v="19.899999999999999"/>
    <n v="2121.77"/>
    <n v="868.52"/>
    <n v="1233.3499999999999"/>
    <n v="58.13"/>
    <n v="18509.990000000002"/>
    <b v="1"/>
    <n v="8"/>
  </r>
  <r>
    <s v="ORD-316972"/>
    <x v="15"/>
    <d v="1899-12-30T00:05:47"/>
    <s v="Returned"/>
    <x v="1"/>
    <x v="125"/>
    <s v="Kristin Fuentes"/>
    <n v="41"/>
    <s v="Female"/>
    <x v="2"/>
    <s v="Loyal"/>
    <x v="125"/>
    <s v="Florida"/>
    <s v="USA"/>
    <x v="1"/>
    <n v="3118"/>
    <x v="1"/>
    <s v="Refunded"/>
    <s v="USD"/>
    <s v="Economy"/>
    <s v="WH-018"/>
    <s v="Cancelled"/>
    <s v="Returned"/>
    <s v="Defective Product"/>
    <s v="Organic Search"/>
    <s v="Default_Campaign"/>
    <s v="SAVE48"/>
    <n v="0"/>
    <n v="0"/>
    <x v="2"/>
    <n v="2352.48"/>
    <n v="0"/>
    <n v="164.67"/>
    <n v="37.49"/>
    <n v="2554.64"/>
    <n v="1547.26"/>
    <n v="969.89"/>
    <n v="37.97"/>
    <n v="7462.74"/>
    <b v="1"/>
    <n v="5"/>
  </r>
  <r>
    <s v="ORD-738094"/>
    <x v="110"/>
    <d v="1899-12-30T06:40:04"/>
    <s v="Returned"/>
    <x v="1"/>
    <x v="126"/>
    <s v="Carmen Perkins"/>
    <n v="64"/>
    <s v="Male"/>
    <x v="3"/>
    <s v="Loyal"/>
    <x v="126"/>
    <s v="Baden-Württemberg"/>
    <s v="Germany"/>
    <x v="1"/>
    <n v="55214"/>
    <x v="5"/>
    <s v="Refunded"/>
    <s v="EUR"/>
    <s v="Standard"/>
    <s v="WH-006"/>
    <s v="Cancelled"/>
    <s v="Returned"/>
    <s v="Other"/>
    <s v="Facebook Ads"/>
    <s v="FB_Prospecting"/>
    <s v="SAVE41"/>
    <n v="0"/>
    <n v="0"/>
    <x v="5"/>
    <n v="85.37"/>
    <n v="0"/>
    <n v="16.22"/>
    <n v="9.76"/>
    <n v="111.35"/>
    <n v="40.15"/>
    <n v="61.44"/>
    <n v="55.18"/>
    <n v="14619.68"/>
    <b v="1"/>
    <n v="12"/>
  </r>
  <r>
    <s v="ORD-111732"/>
    <x v="32"/>
    <d v="1899-12-30T22:29:33"/>
    <s v="Returned"/>
    <x v="3"/>
    <x v="127"/>
    <s v="Kyle Landry"/>
    <n v="24"/>
    <s v="Male"/>
    <x v="1"/>
    <s v="Loyal"/>
    <x v="127"/>
    <s v="Georgia"/>
    <s v="USA"/>
    <x v="1"/>
    <n v="27182"/>
    <x v="6"/>
    <s v="Refunded"/>
    <s v="USD"/>
    <s v="Standard"/>
    <s v="WH-003"/>
    <s v="Cancelled"/>
    <s v="Returned"/>
    <s v="Wrong Product"/>
    <s v="Organic Search"/>
    <s v="Default_Campaign"/>
    <s v="SAVE40"/>
    <n v="0"/>
    <n v="0"/>
    <x v="9"/>
    <n v="617.46"/>
    <n v="0"/>
    <n v="43.22"/>
    <n v="3.37"/>
    <n v="664.05"/>
    <n v="266.52"/>
    <n v="394.16"/>
    <n v="59.36"/>
    <n v="7502.49"/>
    <b v="1"/>
    <n v="7"/>
  </r>
  <r>
    <s v="ORD-911076"/>
    <x v="7"/>
    <d v="1899-12-30T12:31:25"/>
    <s v="Returned"/>
    <x v="0"/>
    <x v="128"/>
    <s v="Andrea Donaldson"/>
    <n v="46"/>
    <s v="Male"/>
    <x v="3"/>
    <s v="Loyal"/>
    <x v="128"/>
    <s v="North Carolina"/>
    <s v="USA"/>
    <x v="1"/>
    <n v="34704"/>
    <x v="5"/>
    <s v="Refunded"/>
    <s v="USD"/>
    <s v="Standard"/>
    <s v="WH-008"/>
    <s v="Cancelled"/>
    <s v="Returned"/>
    <s v="Size Issue"/>
    <s v="Direct"/>
    <s v="Default_Campaign"/>
    <s v="SAVE42"/>
    <n v="0"/>
    <n v="0"/>
    <x v="3"/>
    <n v="1879.14"/>
    <n v="0"/>
    <n v="131.54"/>
    <n v="18.079999999999998"/>
    <n v="2028.76"/>
    <n v="1068.6600000000001"/>
    <n v="942.02"/>
    <n v="46.43"/>
    <n v="6645.33"/>
    <b v="1"/>
    <n v="4"/>
  </r>
  <r>
    <s v="ORD-533150"/>
    <x v="111"/>
    <d v="1899-12-30T08:12:26"/>
    <s v="Returned"/>
    <x v="0"/>
    <x v="129"/>
    <s v="Tina Davis"/>
    <n v="34"/>
    <s v="Male"/>
    <x v="3"/>
    <s v="Loyal"/>
    <x v="129"/>
    <s v="Uttar Pradesh"/>
    <s v="India"/>
    <x v="4"/>
    <n v="60991"/>
    <x v="0"/>
    <s v="Refunded"/>
    <s v="INR"/>
    <s v="Standard"/>
    <s v="WH-005"/>
    <s v="Cancelled"/>
    <s v="Returned"/>
    <s v="Defective Product"/>
    <s v="TikTok"/>
    <s v="Default_Campaign"/>
    <s v="SAVE29"/>
    <n v="0"/>
    <n v="0"/>
    <x v="6"/>
    <n v="49.36"/>
    <n v="0"/>
    <n v="8.8800000000000008"/>
    <n v="3.9"/>
    <n v="62.14"/>
    <n v="28.41"/>
    <n v="29.83"/>
    <n v="48"/>
    <n v="5956.54"/>
    <b v="1"/>
    <n v="7"/>
  </r>
  <r>
    <s v="ORD-466567"/>
    <x v="112"/>
    <d v="1899-12-30T03:06:26"/>
    <s v="Returned"/>
    <x v="1"/>
    <x v="130"/>
    <s v="Joyce Rosales"/>
    <n v="34"/>
    <s v="Male"/>
    <x v="1"/>
    <s v="Returning"/>
    <x v="130"/>
    <s v="Karnataka"/>
    <s v="India"/>
    <x v="1"/>
    <n v="80090"/>
    <x v="1"/>
    <s v="Refunded"/>
    <s v="INR"/>
    <s v="Economy"/>
    <s v="WH-011"/>
    <s v="Cancelled"/>
    <s v="Returned"/>
    <s v="Product Not as Expected"/>
    <s v="Instagram"/>
    <s v="Insta_Stories"/>
    <s v="SAVE33"/>
    <n v="0"/>
    <n v="0"/>
    <x v="14"/>
    <n v="4281.09"/>
    <n v="0"/>
    <n v="770.6"/>
    <n v="21.04"/>
    <n v="5072.7299999999996"/>
    <n v="2631.34"/>
    <n v="2420.35"/>
    <n v="47.71"/>
    <n v="9350.3700000000008"/>
    <b v="1"/>
    <n v="3"/>
  </r>
  <r>
    <s v="ORD-318293"/>
    <x v="113"/>
    <d v="1899-12-30T02:47:28"/>
    <s v="Returned"/>
    <x v="0"/>
    <x v="131"/>
    <s v="Allison Snyder"/>
    <n v="29"/>
    <s v="Female"/>
    <x v="1"/>
    <s v="Returning"/>
    <x v="131"/>
    <s v="Texas"/>
    <s v="USA"/>
    <x v="1"/>
    <n v="21820"/>
    <x v="5"/>
    <s v="Refunded"/>
    <s v="USD"/>
    <s v="Economy"/>
    <s v="WH-009"/>
    <s v="Cancelled"/>
    <s v="Returned"/>
    <s v="Other"/>
    <s v="Referral"/>
    <s v="Friend_Invite"/>
    <s v="SAVE27"/>
    <n v="0"/>
    <n v="0"/>
    <x v="7"/>
    <n v="344.33"/>
    <n v="0"/>
    <n v="24.11"/>
    <n v="21.33"/>
    <n v="389.77"/>
    <n v="153.63999999999999"/>
    <n v="214.8"/>
    <n v="55.11"/>
    <n v="2193.5300000000002"/>
    <b v="1"/>
    <n v="3"/>
  </r>
  <r>
    <s v="ORD-468424"/>
    <x v="114"/>
    <d v="1899-12-30T03:05:58"/>
    <s v="Returned"/>
    <x v="2"/>
    <x v="132"/>
    <s v="Alicia Glover"/>
    <n v="62"/>
    <s v="Male"/>
    <x v="0"/>
    <s v="Loyal"/>
    <x v="132"/>
    <s v="Florida"/>
    <s v="USA"/>
    <x v="1"/>
    <n v="63278"/>
    <x v="5"/>
    <s v="Refunded"/>
    <s v="USD"/>
    <s v="Economy"/>
    <s v="WH-006"/>
    <s v="Cancelled"/>
    <s v="Returned"/>
    <s v="Defective Product"/>
    <s v="Organic Search"/>
    <s v="Default_Campaign"/>
    <s v="SAVE28"/>
    <n v="0"/>
    <n v="0"/>
    <x v="6"/>
    <n v="33.31"/>
    <n v="0"/>
    <n v="2.33"/>
    <n v="3.57"/>
    <n v="39.21"/>
    <n v="14.45"/>
    <n v="21.19"/>
    <n v="54.04"/>
    <n v="14397.35"/>
    <b v="1"/>
    <n v="13"/>
  </r>
  <r>
    <s v="ORD-453435"/>
    <x v="115"/>
    <d v="1899-12-30T01:38:56"/>
    <s v="Returned"/>
    <x v="0"/>
    <x v="133"/>
    <s v="Michael Wilson"/>
    <n v="42"/>
    <s v="Female"/>
    <x v="0"/>
    <s v="Returning"/>
    <x v="133"/>
    <s v="Illinois"/>
    <s v="USA"/>
    <x v="2"/>
    <n v="27315"/>
    <x v="5"/>
    <s v="Refunded"/>
    <s v="USD"/>
    <s v="Economy"/>
    <s v="WH-010"/>
    <s v="Cancelled"/>
    <s v="Returned"/>
    <s v="Damaged Product"/>
    <s v="YouTube"/>
    <s v="Default_Campaign"/>
    <s v="SAVE19"/>
    <n v="0"/>
    <n v="0"/>
    <x v="9"/>
    <n v="1225.57"/>
    <n v="0"/>
    <n v="85.79"/>
    <n v="9.6"/>
    <n v="1320.96"/>
    <n v="699.5"/>
    <n v="611.86"/>
    <n v="46.32"/>
    <n v="5525.95"/>
    <b v="1"/>
    <n v="3"/>
  </r>
  <r>
    <s v="ORD-627721"/>
    <x v="116"/>
    <d v="1899-12-30T00:17:19"/>
    <s v="Returned"/>
    <x v="1"/>
    <x v="134"/>
    <s v="Gregory Krueger"/>
    <n v="45"/>
    <s v="Male"/>
    <x v="1"/>
    <s v="Loyal"/>
    <x v="134"/>
    <s v="New York"/>
    <s v="USA"/>
    <x v="0"/>
    <n v="617"/>
    <x v="0"/>
    <s v="Refunded"/>
    <s v="USD"/>
    <s v="Express"/>
    <s v="WH-003"/>
    <s v="Cancelled"/>
    <s v="Returned"/>
    <s v="Late Delivery"/>
    <s v="Direct"/>
    <s v="Default_Campaign"/>
    <s v="SAVE10"/>
    <n v="0"/>
    <n v="0"/>
    <x v="7"/>
    <n v="1064.8900000000001"/>
    <n v="0"/>
    <n v="74.540000000000006"/>
    <n v="17.510000000000002"/>
    <n v="1156.94"/>
    <n v="614.67999999999995"/>
    <n v="524.75"/>
    <n v="45.36"/>
    <n v="11218.02"/>
    <b v="1"/>
    <n v="7"/>
  </r>
  <r>
    <s v="ORD-965391"/>
    <x v="117"/>
    <d v="1899-12-30T22:42:15"/>
    <s v="Returned"/>
    <x v="0"/>
    <x v="135"/>
    <s v="Donald Fernandez"/>
    <n v="62"/>
    <s v="Non-Binary"/>
    <x v="0"/>
    <s v="Loyal"/>
    <x v="135"/>
    <s v="Baden-Württemberg"/>
    <s v="Germany"/>
    <x v="1"/>
    <n v="49885"/>
    <x v="5"/>
    <s v="Refunded"/>
    <s v="EUR"/>
    <s v="Standard"/>
    <s v="WH-015"/>
    <s v="Cancelled"/>
    <s v="Returned"/>
    <s v="Wrong Product"/>
    <s v="Email Marketing"/>
    <s v="Abandoned_Cart"/>
    <s v="SAVE28"/>
    <n v="0"/>
    <n v="0"/>
    <x v="3"/>
    <n v="810.2"/>
    <n v="0"/>
    <n v="153.93"/>
    <n v="32.85"/>
    <n v="996.98"/>
    <n v="437.89"/>
    <n v="526.24"/>
    <n v="52.78"/>
    <n v="3934.7"/>
    <b v="1"/>
    <n v="5"/>
  </r>
  <r>
    <s v="ORD-128430"/>
    <x v="118"/>
    <d v="1899-12-30T10:48:04"/>
    <s v="Returned"/>
    <x v="0"/>
    <x v="136"/>
    <s v="Travis Simmons"/>
    <n v="64"/>
    <s v="Male"/>
    <x v="0"/>
    <s v="Loyal"/>
    <x v="136"/>
    <s v="England"/>
    <s v="UK"/>
    <x v="4"/>
    <n v="61982"/>
    <x v="3"/>
    <s v="Refunded"/>
    <s v="GBP"/>
    <s v="Economy"/>
    <s v="WH-009"/>
    <s v="Cancelled"/>
    <s v="Returned"/>
    <s v="Damaged Product"/>
    <s v="Google Ads"/>
    <s v="Google_Display"/>
    <s v="SAVE45"/>
    <n v="0"/>
    <n v="0"/>
    <x v="0"/>
    <n v="903"/>
    <n v="0"/>
    <n v="180.6"/>
    <n v="3.22"/>
    <n v="1086.82"/>
    <n v="414.65"/>
    <n v="668.95"/>
    <n v="61.55"/>
    <n v="9097.14"/>
    <b v="1"/>
    <n v="5"/>
  </r>
  <r>
    <s v="ORD-111868"/>
    <x v="119"/>
    <d v="1899-12-30T12:39:44"/>
    <s v="Returned"/>
    <x v="1"/>
    <x v="137"/>
    <s v="Mark Lyons"/>
    <n v="45"/>
    <s v="Female"/>
    <x v="0"/>
    <s v="Loyal"/>
    <x v="137"/>
    <s v="California"/>
    <s v="USA"/>
    <x v="3"/>
    <n v="35517"/>
    <x v="6"/>
    <s v="Refunded"/>
    <s v="USD"/>
    <s v="Standard"/>
    <s v="WH-001"/>
    <s v="Cancelled"/>
    <s v="Returned"/>
    <s v="Damaged Product"/>
    <s v="Organic Search"/>
    <s v="Default_Campaign"/>
    <s v="SAVE28"/>
    <n v="0"/>
    <n v="0"/>
    <x v="5"/>
    <n v="445.23"/>
    <n v="0"/>
    <n v="31.17"/>
    <n v="6.46"/>
    <n v="482.86"/>
    <n v="240.51"/>
    <n v="235.89"/>
    <n v="48.85"/>
    <n v="4532.3999999999996"/>
    <b v="1"/>
    <n v="5"/>
  </r>
  <r>
    <s v="ORD-506545"/>
    <x v="120"/>
    <d v="1899-12-30T06:42:32"/>
    <s v="Returned"/>
    <x v="1"/>
    <x v="138"/>
    <s v="Tamara Lowery"/>
    <n v="50"/>
    <s v="Female"/>
    <x v="0"/>
    <s v="Loyal"/>
    <x v="138"/>
    <s v="Dubai"/>
    <s v="UAE"/>
    <x v="1"/>
    <n v="50575"/>
    <x v="5"/>
    <s v="Refunded"/>
    <s v="AED"/>
    <s v="Standard"/>
    <s v="WH-010"/>
    <s v="Cancelled"/>
    <s v="Returned"/>
    <s v="Damaged Product"/>
    <s v="Direct"/>
    <s v="Default_Campaign"/>
    <s v="SAVE35"/>
    <n v="0"/>
    <n v="0"/>
    <x v="0"/>
    <n v="2261.7199999999998"/>
    <n v="0"/>
    <n v="113.09"/>
    <n v="61.56"/>
    <n v="2436.37"/>
    <n v="1344.3"/>
    <n v="1030.51"/>
    <n v="42.3"/>
    <n v="5283.24"/>
    <b v="1"/>
    <n v="6"/>
  </r>
  <r>
    <s v="ORD-763645"/>
    <x v="121"/>
    <d v="1899-12-30T05:09:53"/>
    <s v="Returned"/>
    <x v="0"/>
    <x v="139"/>
    <s v="Desiree Lee"/>
    <n v="59"/>
    <s v="Female"/>
    <x v="1"/>
    <s v="Loyal"/>
    <x v="139"/>
    <s v="Manitoba"/>
    <s v="Canada"/>
    <x v="2"/>
    <n v="2026"/>
    <x v="4"/>
    <s v="Refunded"/>
    <s v="CAD"/>
    <s v="Standard"/>
    <s v="WH-014"/>
    <s v="Cancelled"/>
    <s v="Returned"/>
    <s v="Late Delivery"/>
    <s v="Facebook Ads"/>
    <s v="FB_Retargeting"/>
    <s v="SAVE11"/>
    <n v="0"/>
    <n v="0"/>
    <x v="7"/>
    <n v="222.08"/>
    <n v="0"/>
    <n v="28.87"/>
    <n v="7.98"/>
    <n v="258.93"/>
    <n v="88.98"/>
    <n v="161.97"/>
    <n v="62.55"/>
    <n v="7257.95"/>
    <b v="1"/>
    <n v="7"/>
  </r>
  <r>
    <s v="ORD-171962"/>
    <x v="122"/>
    <d v="1899-12-30T02:14:13"/>
    <s v="Returned"/>
    <x v="1"/>
    <x v="140"/>
    <s v="Samantha Smith"/>
    <n v="40"/>
    <s v="Male"/>
    <x v="2"/>
    <s v="Loyal"/>
    <x v="140"/>
    <s v="Hesse"/>
    <s v="Germany"/>
    <x v="2"/>
    <n v="85206"/>
    <x v="3"/>
    <s v="Refunded"/>
    <s v="EUR"/>
    <s v="Economy"/>
    <s v="WH-015"/>
    <s v="Cancelled"/>
    <s v="Returned"/>
    <s v="Other"/>
    <s v="Direct"/>
    <s v="Default_Campaign"/>
    <s v="SAVE18"/>
    <n v="0"/>
    <n v="0"/>
    <x v="14"/>
    <n v="1949.5"/>
    <n v="0"/>
    <n v="370.41"/>
    <n v="15.97"/>
    <n v="2335.88"/>
    <n v="899.54"/>
    <n v="1420.37"/>
    <n v="60.81"/>
    <n v="6438.86"/>
    <b v="1"/>
    <n v="5"/>
  </r>
  <r>
    <s v="ORD-752699"/>
    <x v="123"/>
    <d v="1899-12-30T11:50:57"/>
    <s v="Returned"/>
    <x v="0"/>
    <x v="141"/>
    <s v="Gwendolyn Riley"/>
    <n v="73"/>
    <s v="Male"/>
    <x v="1"/>
    <s v="Loyal"/>
    <x v="141"/>
    <s v="Scotland"/>
    <s v="UK"/>
    <x v="4"/>
    <n v="84952"/>
    <x v="2"/>
    <s v="Refunded"/>
    <s v="GBP"/>
    <s v="Economy"/>
    <s v="WH-009"/>
    <s v="Cancelled"/>
    <s v="Returned"/>
    <s v="Size Issue"/>
    <s v="Email Marketing"/>
    <s v="Abandoned_Cart"/>
    <s v="SAVE44"/>
    <n v="0"/>
    <n v="0"/>
    <x v="10"/>
    <n v="1603.51"/>
    <n v="0"/>
    <n v="320.7"/>
    <n v="19.47"/>
    <n v="1943.68"/>
    <n v="583.64"/>
    <n v="1340.57"/>
    <n v="68.97"/>
    <n v="10364.52"/>
    <b v="1"/>
    <n v="6"/>
  </r>
  <r>
    <s v="ORD-445095"/>
    <x v="124"/>
    <d v="1899-12-30T21:13:43"/>
    <s v="Returned"/>
    <x v="2"/>
    <x v="142"/>
    <s v="Adam Gay"/>
    <n v="60"/>
    <s v="Female"/>
    <x v="0"/>
    <s v="Loyal"/>
    <x v="142"/>
    <s v="Texas"/>
    <s v="USA"/>
    <x v="1"/>
    <n v="86297"/>
    <x v="1"/>
    <s v="Refunded"/>
    <s v="USD"/>
    <s v="Standard"/>
    <s v="WH-008"/>
    <s v="Cancelled"/>
    <s v="Returned"/>
    <s v="Other"/>
    <s v="Instagram"/>
    <s v="Insta_Reels"/>
    <s v="SAVE46"/>
    <n v="0"/>
    <n v="0"/>
    <x v="6"/>
    <n v="270.24"/>
    <n v="0"/>
    <n v="18.920000000000002"/>
    <n v="5.96"/>
    <n v="295.12"/>
    <n v="123.14"/>
    <n v="166.02"/>
    <n v="56.26"/>
    <n v="9257.5300000000007"/>
    <b v="1"/>
    <n v="8"/>
  </r>
  <r>
    <s v="ORD-549720"/>
    <x v="125"/>
    <d v="1899-12-30T03:28:09"/>
    <s v="Returned"/>
    <x v="0"/>
    <x v="143"/>
    <s v="Rebekah Jennings"/>
    <n v="67"/>
    <s v="Female"/>
    <x v="3"/>
    <s v="Loyal"/>
    <x v="143"/>
    <s v="England"/>
    <s v="UK"/>
    <x v="4"/>
    <n v="59506"/>
    <x v="5"/>
    <s v="Refunded"/>
    <s v="GBP"/>
    <s v="Express"/>
    <s v="WH-018"/>
    <s v="Cancelled"/>
    <s v="Returned"/>
    <s v="Late Delivery"/>
    <s v="Google Ads"/>
    <s v="Google_Shopping"/>
    <s v="SAVE19"/>
    <n v="0"/>
    <n v="0"/>
    <x v="4"/>
    <n v="1212.31"/>
    <n v="0"/>
    <n v="242.47"/>
    <n v="27.64"/>
    <n v="1482.42"/>
    <n v="518.05999999999995"/>
    <n v="936.72"/>
    <n v="63.19"/>
    <n v="4690.37"/>
    <b v="1"/>
    <n v="4"/>
  </r>
  <r>
    <s v="ORD-175221"/>
    <x v="126"/>
    <d v="1899-12-30T06:19:59"/>
    <s v="Returned"/>
    <x v="2"/>
    <x v="144"/>
    <s v="Anthony Burgess"/>
    <n v="72"/>
    <s v="Male"/>
    <x v="3"/>
    <s v="Loyal"/>
    <x v="144"/>
    <s v="Florida"/>
    <s v="USA"/>
    <x v="1"/>
    <n v="46139"/>
    <x v="5"/>
    <s v="Refunded"/>
    <s v="USD"/>
    <s v="Standard"/>
    <s v="WH-015"/>
    <s v="Cancelled"/>
    <s v="Returned"/>
    <s v="Wrong Product"/>
    <s v="Affiliate"/>
    <s v="Affiliate_Partner"/>
    <s v="SAVE10"/>
    <n v="0"/>
    <n v="0"/>
    <x v="7"/>
    <n v="371.27"/>
    <n v="0"/>
    <n v="25.99"/>
    <n v="12.37"/>
    <n v="409.63"/>
    <n v="186.07"/>
    <n v="211.19"/>
    <n v="51.56"/>
    <n v="9675.6200000000008"/>
    <b v="1"/>
    <n v="7"/>
  </r>
  <r>
    <s v="ORD-118910"/>
    <x v="127"/>
    <d v="1899-12-30T15:36:04"/>
    <s v="Returned"/>
    <x v="1"/>
    <x v="145"/>
    <s v="Sandra Brown"/>
    <n v="20"/>
    <s v="Female"/>
    <x v="0"/>
    <s v="Loyal"/>
    <x v="145"/>
    <s v="Alberta"/>
    <s v="Canada"/>
    <x v="2"/>
    <n v="33450"/>
    <x v="1"/>
    <s v="Refunded"/>
    <s v="CAD"/>
    <s v="Same Day"/>
    <s v="WH-012"/>
    <s v="Cancelled"/>
    <s v="Returned"/>
    <s v="Wrong Product"/>
    <s v="Affiliate"/>
    <s v="Influencer_Program"/>
    <s v="SAVE41"/>
    <n v="0"/>
    <n v="0"/>
    <x v="9"/>
    <n v="131.31"/>
    <n v="0"/>
    <n v="17.07"/>
    <n v="34.85"/>
    <n v="183.23"/>
    <n v="46.35"/>
    <n v="102.03"/>
    <n v="55.68"/>
    <n v="12088.23"/>
    <b v="1"/>
    <n v="7"/>
  </r>
  <r>
    <s v="ORD-529496"/>
    <x v="128"/>
    <d v="1899-12-30T12:25:47"/>
    <s v="Returned"/>
    <x v="3"/>
    <x v="146"/>
    <s v="Timothy Hinton"/>
    <n v="52"/>
    <s v="Male"/>
    <x v="1"/>
    <s v="Loyal"/>
    <x v="146"/>
    <s v="Ohio"/>
    <s v="USA"/>
    <x v="2"/>
    <n v="96941"/>
    <x v="3"/>
    <s v="Refunded"/>
    <s v="USD"/>
    <s v="Standard"/>
    <s v="WH-003"/>
    <s v="Cancelled"/>
    <s v="Returned"/>
    <s v="Other"/>
    <s v="Direct"/>
    <s v="Default_Campaign"/>
    <s v="SAVE36"/>
    <n v="0"/>
    <n v="0"/>
    <x v="7"/>
    <n v="1386.92"/>
    <n v="0"/>
    <n v="97.09"/>
    <n v="15.21"/>
    <n v="1499.22"/>
    <n v="639.71"/>
    <n v="844.3"/>
    <n v="56.32"/>
    <n v="13250.93"/>
    <b v="1"/>
    <n v="9"/>
  </r>
  <r>
    <s v="ORD-959071"/>
    <x v="129"/>
    <d v="1899-12-30T14:30:31"/>
    <s v="Returned"/>
    <x v="0"/>
    <x v="147"/>
    <s v="Matthew Phillips"/>
    <n v="18"/>
    <s v="Female"/>
    <x v="2"/>
    <s v="Loyal"/>
    <x v="2"/>
    <s v="Baden-Württemberg"/>
    <s v="Germany"/>
    <x v="1"/>
    <n v="23793"/>
    <x v="3"/>
    <s v="Refunded"/>
    <s v="EUR"/>
    <s v="Express"/>
    <s v="WH-013"/>
    <s v="Cancelled"/>
    <s v="Returned"/>
    <s v="Size Issue"/>
    <s v="TikTok"/>
    <s v="Default_Campaign"/>
    <s v="SAVE13"/>
    <n v="0"/>
    <n v="0"/>
    <x v="3"/>
    <n v="2422.67"/>
    <n v="0"/>
    <n v="460.31"/>
    <n v="12.34"/>
    <n v="2895.32"/>
    <n v="1122.7"/>
    <n v="1760.28"/>
    <n v="60.8"/>
    <n v="7701.48"/>
    <b v="1"/>
    <n v="6"/>
  </r>
  <r>
    <s v="ORD-269048"/>
    <x v="60"/>
    <d v="1899-12-30T03:45:01"/>
    <s v="Returned"/>
    <x v="1"/>
    <x v="148"/>
    <s v="Matthew Berg"/>
    <n v="64"/>
    <s v="Male"/>
    <x v="0"/>
    <s v="Loyal"/>
    <x v="147"/>
    <s v="Alberta"/>
    <s v="Canada"/>
    <x v="2"/>
    <n v="74191"/>
    <x v="6"/>
    <s v="Refunded"/>
    <s v="CAD"/>
    <s v="Economy"/>
    <s v="WH-011"/>
    <s v="Cancelled"/>
    <s v="Returned"/>
    <s v="Size Issue"/>
    <s v="Direct"/>
    <s v="Default_Campaign"/>
    <s v="SAVE35"/>
    <n v="0"/>
    <n v="0"/>
    <x v="2"/>
    <n v="2714.8"/>
    <n v="0"/>
    <n v="352.93"/>
    <n v="40.229999999999997"/>
    <n v="3107.96"/>
    <n v="1290.6600000000001"/>
    <n v="1777.07"/>
    <n v="57.18"/>
    <n v="11516.34"/>
    <b v="1"/>
    <n v="5"/>
  </r>
  <r>
    <s v="ORD-618310"/>
    <x v="130"/>
    <d v="1899-12-30T23:38:56"/>
    <s v="Returned"/>
    <x v="1"/>
    <x v="149"/>
    <s v="Mark Kim"/>
    <n v="42"/>
    <s v="Male"/>
    <x v="0"/>
    <s v="Loyal"/>
    <x v="148"/>
    <s v="New York"/>
    <s v="USA"/>
    <x v="0"/>
    <n v="23421"/>
    <x v="5"/>
    <s v="Refunded"/>
    <s v="USD"/>
    <s v="Economy"/>
    <s v="WH-005"/>
    <s v="Cancelled"/>
    <s v="Returned"/>
    <s v="Product Not as Expected"/>
    <s v="Organic Search"/>
    <s v="Default_Campaign"/>
    <s v="SAVE16"/>
    <n v="0"/>
    <n v="0"/>
    <x v="6"/>
    <n v="40.159999999999997"/>
    <n v="0"/>
    <n v="2.81"/>
    <n v="3.93"/>
    <n v="46.9"/>
    <n v="17.22"/>
    <n v="25.75"/>
    <n v="54.9"/>
    <n v="5246.73"/>
    <b v="1"/>
    <n v="6"/>
  </r>
  <r>
    <s v="ORD-995072"/>
    <x v="98"/>
    <d v="1899-12-30T20:19:13"/>
    <s v="Returned"/>
    <x v="0"/>
    <x v="150"/>
    <s v="Jessica Downs"/>
    <n v="69"/>
    <s v="Female"/>
    <x v="0"/>
    <s v="Loyal"/>
    <x v="149"/>
    <s v="England"/>
    <s v="UK"/>
    <x v="4"/>
    <n v="97532"/>
    <x v="4"/>
    <s v="Refunded"/>
    <s v="GBP"/>
    <s v="Economy"/>
    <s v="WH-018"/>
    <s v="Cancelled"/>
    <s v="Returned"/>
    <s v="Other"/>
    <s v="Organic Search"/>
    <s v="Default_Campaign"/>
    <s v="SAVE47"/>
    <n v="0"/>
    <n v="0"/>
    <x v="8"/>
    <n v="2391.2399999999998"/>
    <n v="0"/>
    <n v="478.24"/>
    <n v="30.59"/>
    <n v="2900.07"/>
    <n v="1365.08"/>
    <n v="1504.4"/>
    <n v="51.87"/>
    <n v="8692.07"/>
    <b v="1"/>
    <n v="4"/>
  </r>
  <r>
    <s v="ORD-264703"/>
    <x v="58"/>
    <d v="1899-12-30T21:07:34"/>
    <s v="Returned"/>
    <x v="0"/>
    <x v="151"/>
    <s v="Thomas Frey"/>
    <n v="42"/>
    <s v="Female"/>
    <x v="0"/>
    <s v="Loyal"/>
    <x v="150"/>
    <s v="Florida"/>
    <s v="USA"/>
    <x v="1"/>
    <n v="58459"/>
    <x v="5"/>
    <s v="Refunded"/>
    <s v="USD"/>
    <s v="Standard"/>
    <s v="WH-001"/>
    <s v="Cancelled"/>
    <s v="Returned"/>
    <s v="Wrong Product"/>
    <s v="Referral"/>
    <s v="Referral_Program"/>
    <s v="SAVE25"/>
    <n v="0"/>
    <n v="0"/>
    <x v="4"/>
    <n v="1525.69"/>
    <n v="0"/>
    <n v="106.8"/>
    <n v="35.89"/>
    <n v="1668.38"/>
    <n v="591.99"/>
    <n v="1040.5"/>
    <n v="62.37"/>
    <n v="3947.85"/>
    <b v="1"/>
    <n v="6"/>
  </r>
  <r>
    <s v="ORD-337356"/>
    <x v="131"/>
    <d v="1899-12-30T10:31:31"/>
    <s v="Returned"/>
    <x v="0"/>
    <x v="152"/>
    <s v="Kelly Reynolds"/>
    <n v="29"/>
    <s v="Male"/>
    <x v="0"/>
    <s v="Loyal"/>
    <x v="151"/>
    <s v="Northern Ireland"/>
    <s v="UK"/>
    <x v="3"/>
    <n v="6819"/>
    <x v="2"/>
    <s v="Refunded"/>
    <s v="GBP"/>
    <s v="Express"/>
    <s v="WH-004"/>
    <s v="Cancelled"/>
    <s v="Returned"/>
    <s v="Late Delivery"/>
    <s v="Direct"/>
    <s v="Default_Campaign"/>
    <s v="SAVE36"/>
    <n v="0"/>
    <n v="0"/>
    <x v="2"/>
    <n v="2315.4699999999998"/>
    <n v="0"/>
    <n v="463.09"/>
    <n v="26.92"/>
    <n v="2805.48"/>
    <n v="1145.44"/>
    <n v="1633.12"/>
    <n v="58.21"/>
    <n v="6631.09"/>
    <b v="1"/>
    <n v="6"/>
  </r>
  <r>
    <s v="ORD-468979"/>
    <x v="132"/>
    <d v="1899-12-30T04:14:55"/>
    <s v="Returned"/>
    <x v="1"/>
    <x v="153"/>
    <s v="Jose Perkins"/>
    <n v="28"/>
    <s v="Male"/>
    <x v="0"/>
    <s v="Loyal"/>
    <x v="152"/>
    <s v="Texas"/>
    <s v="USA"/>
    <x v="1"/>
    <n v="82806"/>
    <x v="4"/>
    <s v="Refunded"/>
    <s v="USD"/>
    <s v="Standard"/>
    <s v="WH-017"/>
    <s v="Cancelled"/>
    <s v="Returned"/>
    <s v="Changed Mind"/>
    <s v="Instagram"/>
    <s v="Insta_Influencer"/>
    <s v="SAVE40"/>
    <n v="0"/>
    <n v="0"/>
    <x v="0"/>
    <n v="1879.09"/>
    <n v="0"/>
    <n v="131.53"/>
    <n v="49.64"/>
    <n v="2060.2600000000002"/>
    <n v="1080.2"/>
    <n v="930.42"/>
    <n v="45.16"/>
    <n v="7728.76"/>
    <b v="1"/>
    <n v="5"/>
  </r>
  <r>
    <s v="ORD-813077"/>
    <x v="133"/>
    <d v="1899-12-30T15:05:43"/>
    <s v="Returned"/>
    <x v="0"/>
    <x v="154"/>
    <s v="Christopher Hamilton"/>
    <n v="71"/>
    <s v="Male"/>
    <x v="2"/>
    <s v="Returning"/>
    <x v="153"/>
    <s v="Wales"/>
    <s v="UK"/>
    <x v="3"/>
    <n v="4635"/>
    <x v="5"/>
    <s v="Refunded"/>
    <s v="GBP"/>
    <s v="Standard"/>
    <s v="WH-010"/>
    <s v="Cancelled"/>
    <s v="Returned"/>
    <s v="Size Issue"/>
    <s v="Google Ads"/>
    <s v="Google_Search_Q1"/>
    <s v="SAVE15"/>
    <n v="0"/>
    <n v="0"/>
    <x v="9"/>
    <n v="206.57"/>
    <n v="0"/>
    <n v="41.32"/>
    <n v="2"/>
    <n v="249.89"/>
    <n v="85.11"/>
    <n v="162.78"/>
    <n v="65.14"/>
    <n v="1135.07"/>
    <b v="1"/>
    <n v="2"/>
  </r>
  <r>
    <s v="ORD-347306"/>
    <x v="128"/>
    <d v="1899-12-30T23:59:47"/>
    <s v="Returned"/>
    <x v="1"/>
    <x v="155"/>
    <s v="Sophia Austin"/>
    <n v="52"/>
    <s v="Female"/>
    <x v="0"/>
    <s v="Loyal"/>
    <x v="154"/>
    <s v="California"/>
    <s v="USA"/>
    <x v="3"/>
    <n v="8512"/>
    <x v="5"/>
    <s v="Refunded"/>
    <s v="USD"/>
    <s v="Standard"/>
    <s v="WH-010"/>
    <s v="Cancelled"/>
    <s v="Returned"/>
    <s v="Damaged Product"/>
    <s v="Direct"/>
    <s v="Default_Campaign"/>
    <s v="SAVE13"/>
    <n v="0"/>
    <n v="0"/>
    <x v="6"/>
    <n v="253.01"/>
    <n v="0"/>
    <n v="17.71"/>
    <n v="6.17"/>
    <n v="276.89"/>
    <n v="156.41"/>
    <n v="114.31"/>
    <n v="41.28"/>
    <n v="3600.94"/>
    <b v="1"/>
    <n v="4"/>
  </r>
  <r>
    <s v="ORD-308659"/>
    <x v="134"/>
    <d v="1899-12-30T00:54:23"/>
    <s v="Returned"/>
    <x v="0"/>
    <x v="156"/>
    <s v="Omar Gardner"/>
    <n v="64"/>
    <s v="Female"/>
    <x v="1"/>
    <s v="Loyal"/>
    <x v="155"/>
    <s v="Georgia"/>
    <s v="USA"/>
    <x v="1"/>
    <n v="75359"/>
    <x v="5"/>
    <s v="Refunded"/>
    <s v="USD"/>
    <s v="Same Day"/>
    <s v="WH-013"/>
    <s v="Cancelled"/>
    <s v="Returned"/>
    <s v="Damaged Product"/>
    <s v="Email Marketing"/>
    <s v="Abandoned_Cart"/>
    <s v="SAVE33"/>
    <n v="0"/>
    <n v="0"/>
    <x v="7"/>
    <n v="1551.54"/>
    <n v="0"/>
    <n v="108.61"/>
    <n v="33.04"/>
    <n v="1693.19"/>
    <n v="757"/>
    <n v="903.15"/>
    <n v="53.34"/>
    <n v="8392.7000000000007"/>
    <b v="1"/>
    <n v="7"/>
  </r>
  <r>
    <s v="ORD-210271"/>
    <x v="135"/>
    <d v="1899-12-30T22:10:53"/>
    <s v="Returned"/>
    <x v="2"/>
    <x v="157"/>
    <s v="Andrea Anderson"/>
    <n v="67"/>
    <s v="Female"/>
    <x v="0"/>
    <s v="Loyal"/>
    <x v="156"/>
    <s v="Wales"/>
    <s v="UK"/>
    <x v="3"/>
    <n v="41554"/>
    <x v="3"/>
    <s v="Refunded"/>
    <s v="GBP"/>
    <s v="Standard"/>
    <s v="WH-014"/>
    <s v="Cancelled"/>
    <s v="Returned"/>
    <s v="Size Issue"/>
    <s v="Email Marketing"/>
    <s v="Promo_Email"/>
    <s v="SAVE19"/>
    <n v="0"/>
    <n v="0"/>
    <x v="9"/>
    <n v="861.82"/>
    <n v="0"/>
    <n v="172.36"/>
    <n v="10.49"/>
    <n v="1044.67"/>
    <n v="431.37"/>
    <n v="602.80999999999995"/>
    <n v="57.7"/>
    <n v="6987.67"/>
    <b v="1"/>
    <n v="7"/>
  </r>
  <r>
    <s v="ORD-138057"/>
    <x v="136"/>
    <d v="1899-12-30T15:11:53"/>
    <s v="Returned"/>
    <x v="2"/>
    <x v="158"/>
    <s v="Bryan Alexander"/>
    <n v="36"/>
    <s v="Male"/>
    <x v="0"/>
    <s v="Loyal"/>
    <x v="157"/>
    <s v="Manitoba"/>
    <s v="Canada"/>
    <x v="2"/>
    <n v="54112"/>
    <x v="0"/>
    <s v="Refunded"/>
    <s v="CAD"/>
    <s v="Standard"/>
    <s v="WH-019"/>
    <s v="Cancelled"/>
    <s v="Returned"/>
    <s v="Defective Product"/>
    <s v="Email Marketing"/>
    <s v="Weekly_Newsletter"/>
    <s v="SAVE18"/>
    <n v="0"/>
    <n v="0"/>
    <x v="0"/>
    <n v="259.87"/>
    <n v="0"/>
    <n v="33.78"/>
    <n v="13.95"/>
    <n v="307.60000000000002"/>
    <n v="119.71"/>
    <n v="173.94"/>
    <n v="56.55"/>
    <n v="13656.14"/>
    <b v="1"/>
    <n v="8"/>
  </r>
  <r>
    <s v="ORD-347277"/>
    <x v="137"/>
    <d v="1899-12-30T11:06:26"/>
    <s v="Returned"/>
    <x v="0"/>
    <x v="159"/>
    <s v="David Cantu"/>
    <n v="53"/>
    <s v="Male"/>
    <x v="0"/>
    <s v="Loyal"/>
    <x v="158"/>
    <s v="Hesse"/>
    <s v="Germany"/>
    <x v="2"/>
    <n v="37364"/>
    <x v="0"/>
    <s v="Refunded"/>
    <s v="EUR"/>
    <s v="Standard"/>
    <s v="WH-017"/>
    <s v="Cancelled"/>
    <s v="Returned"/>
    <s v="Changed Mind"/>
    <s v="Direct"/>
    <s v="Default_Campaign"/>
    <s v="SAVE25"/>
    <n v="0"/>
    <n v="0"/>
    <x v="9"/>
    <n v="855.46"/>
    <n v="0"/>
    <n v="162.54"/>
    <n v="5.1100000000000003"/>
    <n v="1023.11"/>
    <n v="410"/>
    <n v="608"/>
    <n v="59.43"/>
    <n v="6677.39"/>
    <b v="1"/>
    <n v="6"/>
  </r>
  <r>
    <s v="ORD-680879"/>
    <x v="138"/>
    <d v="1899-12-30T22:43:02"/>
    <s v="Returned"/>
    <x v="2"/>
    <x v="160"/>
    <s v="Sarah Roberson"/>
    <n v="36"/>
    <s v="Female"/>
    <x v="3"/>
    <s v="Loyal"/>
    <x v="159"/>
    <s v="Texas"/>
    <s v="USA"/>
    <x v="1"/>
    <n v="22512"/>
    <x v="2"/>
    <s v="Refunded"/>
    <s v="USD"/>
    <s v="Standard"/>
    <s v="WH-019"/>
    <s v="Cancelled"/>
    <s v="Returned"/>
    <s v="Changed Mind"/>
    <s v="TikTok"/>
    <s v="Default_Campaign"/>
    <s v="SAVE35"/>
    <n v="0"/>
    <n v="0"/>
    <x v="6"/>
    <n v="306.37"/>
    <n v="0"/>
    <n v="21.45"/>
    <n v="5.77"/>
    <n v="333.59"/>
    <n v="191.09"/>
    <n v="136.72999999999999"/>
    <n v="40.99"/>
    <n v="3866.18"/>
    <b v="1"/>
    <n v="5"/>
  </r>
  <r>
    <s v="ORD-743953"/>
    <x v="139"/>
    <d v="1899-12-30T11:07:34"/>
    <s v="Returned"/>
    <x v="1"/>
    <x v="161"/>
    <s v="Joseph Wilcox"/>
    <n v="43"/>
    <s v="Female"/>
    <x v="1"/>
    <s v="Loyal"/>
    <x v="160"/>
    <s v="Northern Ireland"/>
    <s v="UK"/>
    <x v="3"/>
    <n v="54922"/>
    <x v="5"/>
    <s v="Refunded"/>
    <s v="GBP"/>
    <s v="Standard"/>
    <s v="WH-019"/>
    <s v="Cancelled"/>
    <s v="Returned"/>
    <s v="Wrong Product"/>
    <s v="Instagram"/>
    <s v="Insta_Stories"/>
    <s v="SAVE38"/>
    <n v="0"/>
    <n v="0"/>
    <x v="10"/>
    <n v="837.55"/>
    <n v="0"/>
    <n v="167.51"/>
    <n v="14.7"/>
    <n v="1019.76"/>
    <n v="303.98"/>
    <n v="701.08"/>
    <n v="68.75"/>
    <n v="4663.5600000000004"/>
    <b v="1"/>
    <n v="6"/>
  </r>
  <r>
    <s v="ORD-493037"/>
    <x v="140"/>
    <d v="1899-12-30T21:56:56"/>
    <s v="Returned"/>
    <x v="3"/>
    <x v="162"/>
    <s v="Nicholas Parker"/>
    <n v="19"/>
    <s v="Female"/>
    <x v="2"/>
    <s v="Loyal"/>
    <x v="161"/>
    <s v="Pennsylvania"/>
    <s v="USA"/>
    <x v="0"/>
    <n v="71650"/>
    <x v="1"/>
    <s v="Refunded"/>
    <s v="USD"/>
    <s v="Same Day"/>
    <s v="WH-017"/>
    <s v="Cancelled"/>
    <s v="Returned"/>
    <s v="Changed Mind"/>
    <s v="Instagram"/>
    <s v="Insta_Reels"/>
    <s v="SAVE38"/>
    <n v="0"/>
    <n v="0"/>
    <x v="4"/>
    <n v="1074.1400000000001"/>
    <n v="0"/>
    <n v="75.180000000000007"/>
    <n v="69.430000000000007"/>
    <n v="1218.75"/>
    <n v="528.26"/>
    <n v="621.05999999999995"/>
    <n v="50.96"/>
    <n v="13683.19"/>
    <b v="1"/>
    <n v="10"/>
  </r>
  <r>
    <s v="ORD-561065"/>
    <x v="141"/>
    <d v="1899-12-30T08:19:22"/>
    <s v="Returned"/>
    <x v="1"/>
    <x v="163"/>
    <s v="Timothy Fisher"/>
    <n v="35"/>
    <s v="Female"/>
    <x v="0"/>
    <s v="Loyal"/>
    <x v="162"/>
    <s v="Florida"/>
    <s v="USA"/>
    <x v="1"/>
    <n v="49971"/>
    <x v="2"/>
    <s v="Refunded"/>
    <s v="USD"/>
    <s v="Standard"/>
    <s v="WH-009"/>
    <s v="Cancelled"/>
    <s v="Returned"/>
    <s v="Damaged Product"/>
    <s v="Organic Search"/>
    <s v="Default_Campaign"/>
    <s v="SAVE32"/>
    <n v="0"/>
    <n v="0"/>
    <x v="9"/>
    <n v="699.26"/>
    <n v="0"/>
    <n v="48.95"/>
    <n v="20.95"/>
    <n v="769.16"/>
    <n v="302.41000000000003"/>
    <n v="445.8"/>
    <n v="57.96"/>
    <n v="17881.89"/>
    <b v="1"/>
    <n v="11"/>
  </r>
  <r>
    <s v="ORD-925776"/>
    <x v="142"/>
    <d v="1899-12-30T07:43:16"/>
    <s v="Returned"/>
    <x v="0"/>
    <x v="164"/>
    <s v="Christina Fox"/>
    <n v="30"/>
    <s v="Male"/>
    <x v="0"/>
    <s v="Loyal"/>
    <x v="163"/>
    <s v="California"/>
    <s v="USA"/>
    <x v="3"/>
    <n v="56125"/>
    <x v="3"/>
    <s v="Refunded"/>
    <s v="USD"/>
    <s v="Same Day"/>
    <s v="WH-012"/>
    <s v="Cancelled"/>
    <s v="Returned"/>
    <s v="Wrong Product"/>
    <s v="Organic Search"/>
    <s v="Default_Campaign"/>
    <s v="SAVE32"/>
    <n v="0"/>
    <n v="0"/>
    <x v="0"/>
    <n v="1347.05"/>
    <n v="0"/>
    <n v="94.3"/>
    <n v="33.97"/>
    <n v="1475.32"/>
    <n v="783.92"/>
    <n v="657.43"/>
    <n v="44.56"/>
    <n v="11236.95"/>
    <b v="1"/>
    <n v="10"/>
  </r>
  <r>
    <s v="ORD-451079"/>
    <x v="143"/>
    <d v="1899-12-30T04:51:01"/>
    <s v="Returned"/>
    <x v="0"/>
    <x v="165"/>
    <s v="Kaitlin Hunt"/>
    <n v="56"/>
    <s v="Male"/>
    <x v="3"/>
    <s v="Loyal"/>
    <x v="164"/>
    <s v="Maharashtra"/>
    <s v="India"/>
    <x v="3"/>
    <n v="42306"/>
    <x v="3"/>
    <s v="Refunded"/>
    <s v="INR"/>
    <s v="Same Day"/>
    <s v="WH-017"/>
    <s v="Cancelled"/>
    <s v="Returned"/>
    <s v="Late Delivery"/>
    <s v="Direct"/>
    <s v="Default_Campaign"/>
    <s v="SAVE27"/>
    <n v="0"/>
    <n v="0"/>
    <x v="4"/>
    <n v="1122.2"/>
    <n v="0"/>
    <n v="201.99"/>
    <n v="28.01"/>
    <n v="1352.2"/>
    <n v="474.6"/>
    <n v="849.59"/>
    <n v="62.83"/>
    <n v="15384.71"/>
    <b v="1"/>
    <n v="9"/>
  </r>
  <r>
    <s v="ORD-934396"/>
    <x v="144"/>
    <d v="1899-12-30T17:16:00"/>
    <s v="Returned"/>
    <x v="0"/>
    <x v="166"/>
    <s v="Oscar Sexton"/>
    <n v="36"/>
    <s v="Male"/>
    <x v="1"/>
    <s v="Loyal"/>
    <x v="165"/>
    <s v="Pennsylvania"/>
    <s v="USA"/>
    <x v="0"/>
    <n v="30545"/>
    <x v="6"/>
    <s v="Refunded"/>
    <s v="USD"/>
    <s v="Standard"/>
    <s v="WH-006"/>
    <s v="Cancelled"/>
    <s v="Returned"/>
    <s v="Product Not as Expected"/>
    <s v="Facebook Ads"/>
    <s v="FB_Retargeting"/>
    <s v="SAVE27"/>
    <n v="0"/>
    <n v="0"/>
    <x v="9"/>
    <n v="484.08"/>
    <n v="0"/>
    <n v="33.89"/>
    <n v="4.07"/>
    <n v="522.04"/>
    <n v="196.73"/>
    <n v="321.24"/>
    <n v="61.54"/>
    <n v="11403"/>
    <b v="1"/>
    <n v="10"/>
  </r>
  <r>
    <s v="ORD-701097"/>
    <x v="52"/>
    <d v="1899-12-30T11:08:12"/>
    <s v="Returned"/>
    <x v="3"/>
    <x v="167"/>
    <s v="Ann Sandoval"/>
    <n v="21"/>
    <s v="Female"/>
    <x v="1"/>
    <s v="Loyal"/>
    <x v="166"/>
    <s v="Michigan"/>
    <s v="USA"/>
    <x v="2"/>
    <n v="78759"/>
    <x v="5"/>
    <s v="Refunded"/>
    <s v="USD"/>
    <s v="Standard"/>
    <s v="WH-009"/>
    <s v="Cancelled"/>
    <s v="Returned"/>
    <s v="Size Issue"/>
    <s v="Google Ads"/>
    <s v="Google_Search_Q1"/>
    <s v="SAVE23"/>
    <n v="0"/>
    <n v="0"/>
    <x v="1"/>
    <n v="2263.69"/>
    <n v="0"/>
    <n v="158.44999999999999"/>
    <n v="12.45"/>
    <n v="2434.59"/>
    <n v="1073.75"/>
    <n v="1348.39"/>
    <n v="55.38"/>
    <n v="7714.58"/>
    <b v="1"/>
    <n v="8"/>
  </r>
  <r>
    <s v="ORD-756614"/>
    <x v="145"/>
    <d v="1899-12-30T09:15:10"/>
    <s v="Returned"/>
    <x v="1"/>
    <x v="168"/>
    <s v="Kelsey Rogers"/>
    <n v="26"/>
    <s v="Male"/>
    <x v="2"/>
    <s v="Loyal"/>
    <x v="167"/>
    <s v="New York"/>
    <s v="USA"/>
    <x v="0"/>
    <n v="15814"/>
    <x v="5"/>
    <s v="Refunded"/>
    <s v="USD"/>
    <s v="Standard"/>
    <s v="WH-013"/>
    <s v="Cancelled"/>
    <s v="Returned"/>
    <s v="Product Not as Expected"/>
    <s v="Email Marketing"/>
    <s v="Weekly_Newsletter"/>
    <s v="SAVE11"/>
    <n v="0"/>
    <n v="0"/>
    <x v="4"/>
    <n v="748.14"/>
    <n v="0"/>
    <n v="52.37"/>
    <n v="24.21"/>
    <n v="824.72"/>
    <n v="243.66"/>
    <n v="556.85"/>
    <n v="67.52"/>
    <n v="4447.03"/>
    <b v="1"/>
    <n v="4"/>
  </r>
  <r>
    <s v="ORD-299854"/>
    <x v="146"/>
    <d v="1899-12-30T15:38:05"/>
    <s v="Returned"/>
    <x v="0"/>
    <x v="169"/>
    <s v="Autumn Simmons"/>
    <n v="63"/>
    <s v="Non-Binary"/>
    <x v="1"/>
    <s v="Loyal"/>
    <x v="168"/>
    <s v="Michigan"/>
    <s v="USA"/>
    <x v="2"/>
    <n v="24263"/>
    <x v="3"/>
    <s v="Refunded"/>
    <s v="USD"/>
    <s v="Express"/>
    <s v="WH-014"/>
    <s v="Cancelled"/>
    <s v="Returned"/>
    <s v="Size Issue"/>
    <s v="Organic Search"/>
    <s v="Default_Campaign"/>
    <s v="SAVE15"/>
    <n v="0"/>
    <n v="0"/>
    <x v="6"/>
    <n v="12.75"/>
    <n v="0"/>
    <n v="0.89"/>
    <n v="11.67"/>
    <n v="25.31"/>
    <n v="4.1399999999999997"/>
    <n v="9.5"/>
    <n v="37.53"/>
    <n v="14891.8"/>
    <b v="1"/>
    <n v="8"/>
  </r>
  <r>
    <s v="ORD-667506"/>
    <x v="147"/>
    <d v="1899-12-30T14:37:17"/>
    <s v="Returned"/>
    <x v="1"/>
    <x v="170"/>
    <s v="Traci Clarke"/>
    <n v="62"/>
    <s v="Female"/>
    <x v="2"/>
    <s v="Loyal"/>
    <x v="169"/>
    <s v="New York"/>
    <s v="USA"/>
    <x v="0"/>
    <n v="57196"/>
    <x v="0"/>
    <s v="Refunded"/>
    <s v="USD"/>
    <s v="Same Day"/>
    <s v="WH-013"/>
    <s v="Cancelled"/>
    <s v="Returned"/>
    <s v="Defective Product"/>
    <s v="Organic Search"/>
    <s v="Default_Campaign"/>
    <s v="SAVE45"/>
    <n v="0"/>
    <n v="0"/>
    <x v="0"/>
    <n v="469.7"/>
    <n v="0"/>
    <n v="32.880000000000003"/>
    <n v="24.44"/>
    <n v="527.02"/>
    <n v="222.76"/>
    <n v="279.82"/>
    <n v="53.09"/>
    <n v="5106.6099999999997"/>
    <b v="1"/>
    <n v="6"/>
  </r>
  <r>
    <s v="ORD-888181"/>
    <x v="148"/>
    <d v="1899-12-30T17:52:49"/>
    <s v="Returned"/>
    <x v="0"/>
    <x v="171"/>
    <s v="Cheryl Barrera"/>
    <n v="47"/>
    <s v="Female"/>
    <x v="0"/>
    <s v="Loyal"/>
    <x v="170"/>
    <s v="Hesse"/>
    <s v="Germany"/>
    <x v="2"/>
    <n v="78650"/>
    <x v="3"/>
    <s v="Refunded"/>
    <s v="EUR"/>
    <s v="Same Day"/>
    <s v="WH-018"/>
    <s v="Cancelled"/>
    <s v="Returned"/>
    <s v="Wrong Product"/>
    <s v="Facebook Ads"/>
    <s v="FB_Retargeting"/>
    <s v="SAVE36"/>
    <n v="0"/>
    <n v="0"/>
    <x v="5"/>
    <n v="540.51"/>
    <n v="0"/>
    <n v="102.69"/>
    <n v="25.23"/>
    <n v="668.43"/>
    <n v="303.44"/>
    <n v="339.76"/>
    <n v="50.83"/>
    <n v="10173.73"/>
    <b v="1"/>
    <n v="4"/>
  </r>
  <r>
    <s v="ORD-109894"/>
    <x v="113"/>
    <d v="1899-12-30T13:52:54"/>
    <s v="Returned"/>
    <x v="0"/>
    <x v="172"/>
    <s v="Michael Brooks"/>
    <n v="65"/>
    <s v="Female"/>
    <x v="1"/>
    <s v="Loyal"/>
    <x v="171"/>
    <s v="Ajman"/>
    <s v="UAE"/>
    <x v="4"/>
    <n v="60865"/>
    <x v="0"/>
    <s v="Refunded"/>
    <s v="AED"/>
    <s v="Standard"/>
    <s v="WH-007"/>
    <s v="Cancelled"/>
    <s v="Returned"/>
    <s v="Changed Mind"/>
    <s v="Referral"/>
    <s v="Friend_Invite"/>
    <s v="SAVE14"/>
    <n v="0"/>
    <n v="0"/>
    <x v="0"/>
    <n v="2207.96"/>
    <n v="0"/>
    <n v="110.4"/>
    <n v="50.91"/>
    <n v="2369.27"/>
    <n v="1077.1300000000001"/>
    <n v="1241.23"/>
    <n v="52.39"/>
    <n v="8251.61"/>
    <b v="1"/>
    <n v="5"/>
  </r>
  <r>
    <s v="ORD-118401"/>
    <x v="149"/>
    <d v="1899-12-30T08:20:53"/>
    <s v="Returned"/>
    <x v="0"/>
    <x v="173"/>
    <s v="Hector Stone"/>
    <n v="39"/>
    <s v="Female"/>
    <x v="1"/>
    <s v="Loyal"/>
    <x v="172"/>
    <s v="California"/>
    <s v="USA"/>
    <x v="3"/>
    <n v="73309"/>
    <x v="3"/>
    <s v="Refunded"/>
    <s v="USD"/>
    <s v="Standard"/>
    <s v="WH-014"/>
    <s v="Cancelled"/>
    <s v="Returned"/>
    <s v="Wrong Product"/>
    <s v="Organic Search"/>
    <s v="Default_Campaign"/>
    <s v="SAVE15"/>
    <n v="0"/>
    <n v="0"/>
    <x v="1"/>
    <n v="3264.77"/>
    <n v="0"/>
    <n v="228.53"/>
    <n v="20.99"/>
    <n v="3514.29"/>
    <n v="1981.32"/>
    <n v="1511.98"/>
    <n v="43.02"/>
    <n v="8573.73"/>
    <b v="1"/>
    <n v="5"/>
  </r>
  <r>
    <s v="ORD-572558"/>
    <x v="150"/>
    <d v="1899-12-30T02:17:40"/>
    <s v="Returned"/>
    <x v="2"/>
    <x v="174"/>
    <s v="Michelle Goodman"/>
    <n v="34"/>
    <s v="Female"/>
    <x v="0"/>
    <s v="Loyal"/>
    <x v="173"/>
    <s v="California"/>
    <s v="USA"/>
    <x v="3"/>
    <n v="49718"/>
    <x v="2"/>
    <s v="Refunded"/>
    <s v="USD"/>
    <s v="Standard"/>
    <s v="WH-005"/>
    <s v="Cancelled"/>
    <s v="Returned"/>
    <s v="Other"/>
    <s v="Organic Search"/>
    <s v="Default_Campaign"/>
    <s v="SAVE27"/>
    <n v="0"/>
    <n v="0"/>
    <x v="5"/>
    <n v="1173.9100000000001"/>
    <n v="0"/>
    <n v="82.18"/>
    <n v="27.21"/>
    <n v="1283.3"/>
    <n v="633.07000000000005"/>
    <n v="623.02"/>
    <n v="48.55"/>
    <n v="4606.95"/>
    <b v="1"/>
    <n v="6"/>
  </r>
  <r>
    <s v="ORD-792598"/>
    <x v="101"/>
    <d v="1899-12-30T01:24:23"/>
    <s v="Returned"/>
    <x v="0"/>
    <x v="175"/>
    <s v="Stacy Brown"/>
    <n v="39"/>
    <s v="Non-Binary"/>
    <x v="0"/>
    <s v="Loyal"/>
    <x v="174"/>
    <s v="Florida"/>
    <s v="USA"/>
    <x v="1"/>
    <n v="18242"/>
    <x v="6"/>
    <s v="Refunded"/>
    <s v="USD"/>
    <s v="Economy"/>
    <s v="WH-018"/>
    <s v="Cancelled"/>
    <s v="Returned"/>
    <s v="Other"/>
    <s v="Google Ads"/>
    <s v="Google_Display"/>
    <s v="SAVE48"/>
    <n v="0"/>
    <n v="0"/>
    <x v="2"/>
    <n v="1992.54"/>
    <n v="0"/>
    <n v="139.47"/>
    <n v="9.85"/>
    <n v="2141.86"/>
    <n v="886.75"/>
    <n v="1245.26"/>
    <n v="58.14"/>
    <n v="7511.36"/>
    <b v="1"/>
    <n v="5"/>
  </r>
  <r>
    <s v="ORD-747707"/>
    <x v="151"/>
    <d v="1899-12-30T06:08:24"/>
    <s v="Returned"/>
    <x v="1"/>
    <x v="176"/>
    <s v="Ellen Turner"/>
    <n v="55"/>
    <s v="Male"/>
    <x v="2"/>
    <s v="Loyal"/>
    <x v="175"/>
    <s v="Northern Ireland"/>
    <s v="UK"/>
    <x v="3"/>
    <n v="38948"/>
    <x v="5"/>
    <s v="Refunded"/>
    <s v="GBP"/>
    <s v="Standard"/>
    <s v="WH-013"/>
    <s v="Cancelled"/>
    <s v="Returned"/>
    <s v="Size Issue"/>
    <s v="Facebook Ads"/>
    <s v="FB_Retargeting"/>
    <s v="SAVE26"/>
    <n v="0"/>
    <n v="0"/>
    <x v="0"/>
    <n v="1118.9000000000001"/>
    <n v="0"/>
    <n v="223.78"/>
    <n v="11.6"/>
    <n v="1354.28"/>
    <n v="647.96"/>
    <n v="694.72"/>
    <n v="51.3"/>
    <n v="6585.08"/>
    <b v="1"/>
    <n v="7"/>
  </r>
  <r>
    <s v="ORD-444642"/>
    <x v="152"/>
    <d v="1899-12-30T04:58:27"/>
    <s v="Returned"/>
    <x v="0"/>
    <x v="177"/>
    <s v="Kimberly Mejia"/>
    <n v="64"/>
    <s v="Male"/>
    <x v="0"/>
    <s v="Loyal"/>
    <x v="176"/>
    <s v="Bavaria"/>
    <s v="Germany"/>
    <x v="1"/>
    <n v="63442"/>
    <x v="4"/>
    <s v="Refunded"/>
    <s v="EUR"/>
    <s v="Standard"/>
    <s v="WH-006"/>
    <s v="Cancelled"/>
    <s v="Returned"/>
    <s v="Changed Mind"/>
    <s v="Facebook Ads"/>
    <s v="FB_Retargeting"/>
    <s v="SAVE35"/>
    <n v="0"/>
    <n v="0"/>
    <x v="4"/>
    <n v="533.04"/>
    <n v="0"/>
    <n v="101.27"/>
    <n v="27.48"/>
    <n v="661.79"/>
    <n v="253.58"/>
    <n v="380.73"/>
    <n v="57.53"/>
    <n v="5456.77"/>
    <b v="1"/>
    <n v="5"/>
  </r>
  <r>
    <s v="ORD-662495"/>
    <x v="153"/>
    <d v="1899-12-30T03:51:51"/>
    <s v="Returned"/>
    <x v="3"/>
    <x v="178"/>
    <s v="Glenn Peters"/>
    <n v="29"/>
    <s v="Male"/>
    <x v="0"/>
    <s v="Loyal"/>
    <x v="177"/>
    <s v="Scotland"/>
    <s v="UK"/>
    <x v="4"/>
    <n v="11137"/>
    <x v="5"/>
    <s v="Refunded"/>
    <s v="GBP"/>
    <s v="Economy"/>
    <s v="WH-018"/>
    <s v="Cancelled"/>
    <s v="Returned"/>
    <s v="Defective Product"/>
    <s v="Organic Search"/>
    <s v="Default_Campaign"/>
    <s v="SAVE27"/>
    <n v="0"/>
    <n v="0"/>
    <x v="5"/>
    <n v="567.49"/>
    <n v="0"/>
    <n v="113.51"/>
    <n v="13.01"/>
    <n v="694.01"/>
    <n v="238.26"/>
    <n v="442.74"/>
    <n v="63.79"/>
    <n v="7229.55"/>
    <b v="1"/>
    <n v="8"/>
  </r>
  <r>
    <s v="ORD-704239"/>
    <x v="154"/>
    <d v="1899-12-30T02:51:25"/>
    <s v="Returned"/>
    <x v="0"/>
    <x v="179"/>
    <s v="Tracy Tapia"/>
    <n v="31"/>
    <s v="Female"/>
    <x v="2"/>
    <s v="Loyal"/>
    <x v="178"/>
    <s v="Ohio"/>
    <s v="USA"/>
    <x v="2"/>
    <n v="70481"/>
    <x v="3"/>
    <s v="Refunded"/>
    <s v="USD"/>
    <s v="Express"/>
    <s v="WH-008"/>
    <s v="Cancelled"/>
    <s v="Returned"/>
    <s v="Defective Product"/>
    <s v="Instagram"/>
    <s v="Insta_Influencer"/>
    <s v="SAVE14"/>
    <n v="0"/>
    <n v="0"/>
    <x v="3"/>
    <n v="2393.1799999999998"/>
    <n v="0"/>
    <n v="167.51"/>
    <n v="48.21"/>
    <n v="2608.9"/>
    <n v="1479.18"/>
    <n v="1081.51"/>
    <n v="41.45"/>
    <n v="11779.31"/>
    <b v="1"/>
    <n v="6"/>
  </r>
  <r>
    <s v="ORD-407901"/>
    <x v="155"/>
    <d v="1899-12-30T09:48:36"/>
    <s v="Returned"/>
    <x v="0"/>
    <x v="180"/>
    <s v="Amber May"/>
    <n v="64"/>
    <s v="Female"/>
    <x v="1"/>
    <s v="Loyal"/>
    <x v="179"/>
    <s v="Ontario"/>
    <s v="Canada"/>
    <x v="0"/>
    <n v="6554"/>
    <x v="0"/>
    <s v="Refunded"/>
    <s v="CAD"/>
    <s v="Same Day"/>
    <s v="WH-013"/>
    <s v="Cancelled"/>
    <s v="Returned"/>
    <s v="Wrong Product"/>
    <s v="Email Marketing"/>
    <s v="Abandoned_Cart"/>
    <s v="SAVE19"/>
    <n v="0"/>
    <n v="0"/>
    <x v="3"/>
    <n v="884.34"/>
    <n v="0"/>
    <n v="114.97"/>
    <n v="64.78"/>
    <n v="1064.0899999999999"/>
    <n v="543.33000000000004"/>
    <n v="455.98"/>
    <n v="42.85"/>
    <n v="13380.05"/>
    <b v="1"/>
    <n v="8"/>
  </r>
  <r>
    <s v="ORD-852460"/>
    <x v="156"/>
    <d v="1899-12-30T18:52:35"/>
    <s v="Returned"/>
    <x v="1"/>
    <x v="181"/>
    <s v="James Murray"/>
    <n v="35"/>
    <s v="Female"/>
    <x v="2"/>
    <s v="Loyal"/>
    <x v="180"/>
    <s v="Queensland"/>
    <s v="Australia"/>
    <x v="4"/>
    <n v="62627"/>
    <x v="6"/>
    <s v="Refunded"/>
    <s v="AUD"/>
    <s v="Same Day"/>
    <s v="WH-008"/>
    <s v="Cancelled"/>
    <s v="Returned"/>
    <s v="Other"/>
    <s v="Email Marketing"/>
    <s v="Abandoned_Cart"/>
    <s v="SAVE43"/>
    <n v="0"/>
    <n v="0"/>
    <x v="0"/>
    <n v="832.6"/>
    <n v="0"/>
    <n v="83.26"/>
    <n v="72.97"/>
    <n v="988.83"/>
    <n v="461.17"/>
    <n v="454.69"/>
    <n v="45.98"/>
    <n v="6754.17"/>
    <b v="1"/>
    <n v="7"/>
  </r>
  <r>
    <s v="ORD-485162"/>
    <x v="157"/>
    <d v="1899-12-30T21:55:51"/>
    <s v="Returned"/>
    <x v="0"/>
    <x v="182"/>
    <s v="Megan Neal"/>
    <n v="29"/>
    <s v="Male"/>
    <x v="0"/>
    <s v="Loyal"/>
    <x v="181"/>
    <s v="Northern Ireland"/>
    <s v="UK"/>
    <x v="3"/>
    <n v="96927"/>
    <x v="1"/>
    <s v="Refunded"/>
    <s v="GBP"/>
    <s v="Economy"/>
    <s v="WH-012"/>
    <s v="Cancelled"/>
    <s v="Returned"/>
    <s v="Other"/>
    <s v="Direct"/>
    <s v="Default_Campaign"/>
    <s v="SAVE39"/>
    <n v="0"/>
    <n v="0"/>
    <x v="2"/>
    <n v="1335.64"/>
    <n v="0"/>
    <n v="267.13"/>
    <n v="6.34"/>
    <n v="1609.11"/>
    <n v="698.08"/>
    <n v="904.69"/>
    <n v="56.22"/>
    <n v="8687.42"/>
    <b v="1"/>
    <n v="7"/>
  </r>
  <r>
    <s v="ORD-251653"/>
    <x v="158"/>
    <d v="1899-12-30T22:09:41"/>
    <s v="Returned"/>
    <x v="1"/>
    <x v="183"/>
    <s v="Jeff Ford"/>
    <n v="34"/>
    <s v="Male"/>
    <x v="0"/>
    <s v="Loyal"/>
    <x v="182"/>
    <s v="California"/>
    <s v="USA"/>
    <x v="3"/>
    <n v="34872"/>
    <x v="2"/>
    <s v="Refunded"/>
    <s v="USD"/>
    <s v="Standard"/>
    <s v="WH-009"/>
    <s v="Cancelled"/>
    <s v="Returned"/>
    <s v="Other"/>
    <s v="Organic Search"/>
    <s v="Default_Campaign"/>
    <s v="SAVE17"/>
    <n v="0"/>
    <n v="0"/>
    <x v="0"/>
    <n v="1087.0999999999999"/>
    <n v="0"/>
    <n v="76.099999999999994"/>
    <n v="5.87"/>
    <n v="1169.07"/>
    <n v="465.9"/>
    <n v="697.3"/>
    <n v="59.65"/>
    <n v="5513.59"/>
    <b v="1"/>
    <n v="5"/>
  </r>
  <r>
    <s v="ORD-811222"/>
    <x v="9"/>
    <d v="1899-12-30T06:14:29"/>
    <s v="Returned"/>
    <x v="0"/>
    <x v="184"/>
    <s v="Lee Meadows"/>
    <n v="31"/>
    <s v="Female"/>
    <x v="0"/>
    <s v="Loyal"/>
    <x v="183"/>
    <s v="Florida"/>
    <s v="USA"/>
    <x v="1"/>
    <n v="66531"/>
    <x v="5"/>
    <s v="Refunded"/>
    <s v="USD"/>
    <s v="Standard"/>
    <s v="WH-018"/>
    <s v="Cancelled"/>
    <s v="Returned"/>
    <s v="Defective Product"/>
    <s v="Direct"/>
    <s v="Default_Campaign"/>
    <s v="SAVE34"/>
    <n v="0"/>
    <n v="0"/>
    <x v="5"/>
    <n v="216.39"/>
    <n v="0"/>
    <n v="15.14"/>
    <n v="12.32"/>
    <n v="243.85"/>
    <n v="69.56"/>
    <n v="161.97"/>
    <n v="66.42"/>
    <n v="10198.5"/>
    <b v="1"/>
    <n v="9"/>
  </r>
  <r>
    <s v="ORD-511755"/>
    <x v="159"/>
    <d v="1899-12-30T14:14:03"/>
    <s v="Returned"/>
    <x v="1"/>
    <x v="185"/>
    <s v="Kimberly Anthony"/>
    <n v="67"/>
    <s v="Male"/>
    <x v="2"/>
    <s v="Loyal"/>
    <x v="184"/>
    <s v="Michigan"/>
    <s v="USA"/>
    <x v="2"/>
    <n v="8672"/>
    <x v="5"/>
    <s v="Refunded"/>
    <s v="USD"/>
    <s v="Express"/>
    <s v="WH-007"/>
    <s v="Cancelled"/>
    <s v="Returned"/>
    <s v="Changed Mind"/>
    <s v="Instagram"/>
    <s v="Insta_Stories"/>
    <s v="SAVE31"/>
    <n v="0"/>
    <n v="0"/>
    <x v="5"/>
    <n v="2819.97"/>
    <n v="0"/>
    <n v="197.39"/>
    <n v="15.5"/>
    <n v="3032.86"/>
    <n v="1542.19"/>
    <n v="1475.17"/>
    <n v="48.64"/>
    <n v="8026.17"/>
    <b v="1"/>
    <n v="6"/>
  </r>
  <r>
    <s v="ORD-190855"/>
    <x v="160"/>
    <d v="1899-12-30T21:41:12"/>
    <s v="Returned"/>
    <x v="0"/>
    <x v="186"/>
    <s v="James Lara"/>
    <n v="44"/>
    <s v="Male"/>
    <x v="1"/>
    <s v="Returning"/>
    <x v="185"/>
    <s v="New York"/>
    <s v="USA"/>
    <x v="0"/>
    <n v="29314"/>
    <x v="2"/>
    <s v="Refunded"/>
    <s v="USD"/>
    <s v="Standard"/>
    <s v="WH-010"/>
    <s v="Cancelled"/>
    <s v="Returned"/>
    <s v="Wrong Product"/>
    <s v="Direct"/>
    <s v="Default_Campaign"/>
    <s v="SAVE41"/>
    <n v="0"/>
    <n v="0"/>
    <x v="0"/>
    <n v="1023.95"/>
    <n v="0"/>
    <n v="71.680000000000007"/>
    <n v="26.52"/>
    <n v="1122.1500000000001"/>
    <n v="500.92"/>
    <n v="594.71"/>
    <n v="53"/>
    <n v="3697.71"/>
    <b v="1"/>
    <n v="3"/>
  </r>
  <r>
    <s v="ORD-748346"/>
    <x v="161"/>
    <d v="1899-12-30T08:24:30"/>
    <s v="Returned"/>
    <x v="1"/>
    <x v="187"/>
    <s v="Tara Smith"/>
    <n v="18"/>
    <s v="Male"/>
    <x v="1"/>
    <s v="Loyal"/>
    <x v="186"/>
    <s v="Northern Ireland"/>
    <s v="UK"/>
    <x v="3"/>
    <n v="69692"/>
    <x v="5"/>
    <s v="Refunded"/>
    <s v="GBP"/>
    <s v="Standard"/>
    <s v="WH-018"/>
    <s v="Cancelled"/>
    <s v="Returned"/>
    <s v="Other"/>
    <s v="Google Ads"/>
    <s v="Google_Display"/>
    <s v="SAVE13"/>
    <n v="0"/>
    <n v="0"/>
    <x v="5"/>
    <n v="147.51"/>
    <n v="0"/>
    <n v="29.5"/>
    <n v="4.4800000000000004"/>
    <n v="181.49"/>
    <n v="65.290000000000006"/>
    <n v="111.72"/>
    <n v="61.56"/>
    <n v="4964.59"/>
    <b v="1"/>
    <n v="6"/>
  </r>
  <r>
    <s v="ORD-383647"/>
    <x v="162"/>
    <d v="1899-12-30T21:05:54"/>
    <s v="Returned"/>
    <x v="1"/>
    <x v="188"/>
    <s v="Bonnie Jimenez"/>
    <n v="39"/>
    <s v="Male"/>
    <x v="0"/>
    <s v="Loyal"/>
    <x v="187"/>
    <s v="Manitoba"/>
    <s v="Canada"/>
    <x v="2"/>
    <n v="5379"/>
    <x v="3"/>
    <s v="Refunded"/>
    <s v="CAD"/>
    <s v="Standard"/>
    <s v="WH-017"/>
    <s v="Cancelled"/>
    <s v="Returned"/>
    <s v="Defective Product"/>
    <s v="Google Ads"/>
    <s v="Google_Display"/>
    <s v="SAVE21"/>
    <n v="0"/>
    <n v="0"/>
    <x v="5"/>
    <n v="306.18"/>
    <n v="0"/>
    <n v="39.81"/>
    <n v="24.2"/>
    <n v="370.19"/>
    <n v="152.06"/>
    <n v="193.93"/>
    <n v="52.39"/>
    <n v="3449.03"/>
    <b v="1"/>
    <n v="5"/>
  </r>
  <r>
    <s v="ORD-420523"/>
    <x v="163"/>
    <d v="1899-12-30T11:47:47"/>
    <s v="Returned"/>
    <x v="1"/>
    <x v="189"/>
    <s v="David Gilbert"/>
    <n v="29"/>
    <s v="Female"/>
    <x v="2"/>
    <s v="Loyal"/>
    <x v="188"/>
    <s v="Illinois"/>
    <s v="USA"/>
    <x v="2"/>
    <n v="44714"/>
    <x v="5"/>
    <s v="Refunded"/>
    <s v="USD"/>
    <s v="Express"/>
    <s v="WH-015"/>
    <s v="Cancelled"/>
    <s v="Returned"/>
    <s v="Other"/>
    <s v="Facebook Ads"/>
    <s v="FB_Retargeting"/>
    <s v="SAVE45"/>
    <n v="0"/>
    <n v="0"/>
    <x v="7"/>
    <n v="1061.42"/>
    <n v="0"/>
    <n v="74.3"/>
    <n v="14.79"/>
    <n v="1150.51"/>
    <n v="448.29"/>
    <n v="687.43"/>
    <n v="59.75"/>
    <n v="12106.06"/>
    <b v="1"/>
    <n v="6"/>
  </r>
  <r>
    <s v="ORD-429208"/>
    <x v="164"/>
    <d v="1899-12-30T02:45:07"/>
    <s v="Returned"/>
    <x v="0"/>
    <x v="190"/>
    <s v="Albert Rodriguez"/>
    <n v="31"/>
    <s v="Male"/>
    <x v="0"/>
    <s v="Loyal"/>
    <x v="189"/>
    <s v="Ohio"/>
    <s v="USA"/>
    <x v="2"/>
    <n v="87540"/>
    <x v="5"/>
    <s v="Refunded"/>
    <s v="USD"/>
    <s v="Economy"/>
    <s v="WH-018"/>
    <s v="Cancelled"/>
    <s v="Returned"/>
    <s v="Defective Product"/>
    <s v="Facebook Ads"/>
    <s v="FB_Prospecting"/>
    <s v="SAVE35"/>
    <n v="0"/>
    <n v="0"/>
    <x v="1"/>
    <n v="1973.45"/>
    <n v="0"/>
    <n v="138.15"/>
    <n v="54.22"/>
    <n v="2165.8200000000002"/>
    <n v="993.22"/>
    <n v="1118.3800000000001"/>
    <n v="51.64"/>
    <n v="9082.52"/>
    <b v="1"/>
    <n v="6"/>
  </r>
  <r>
    <s v="ORD-419485"/>
    <x v="149"/>
    <d v="1899-12-30T02:14:40"/>
    <s v="Returned"/>
    <x v="1"/>
    <x v="191"/>
    <s v="Gabriela Washington"/>
    <n v="72"/>
    <s v="Female"/>
    <x v="0"/>
    <s v="Loyal"/>
    <x v="190"/>
    <s v="Florida"/>
    <s v="USA"/>
    <x v="1"/>
    <n v="5194"/>
    <x v="3"/>
    <s v="Refunded"/>
    <s v="USD"/>
    <s v="Economy"/>
    <s v="WH-012"/>
    <s v="Cancelled"/>
    <s v="Returned"/>
    <s v="Other"/>
    <s v="Affiliate"/>
    <s v="Influencer_Program"/>
    <s v="SAVE14"/>
    <n v="0"/>
    <n v="0"/>
    <x v="9"/>
    <n v="1976.72"/>
    <n v="0"/>
    <n v="138.37"/>
    <n v="3.61"/>
    <n v="2118.6999999999998"/>
    <n v="992"/>
    <n v="1123.0899999999999"/>
    <n v="53.01"/>
    <n v="9722.75"/>
    <b v="1"/>
    <n v="6"/>
  </r>
  <r>
    <s v="ORD-331653"/>
    <x v="165"/>
    <d v="1899-12-30T01:03:30"/>
    <s v="Returned"/>
    <x v="0"/>
    <x v="192"/>
    <s v="Caroline Miller"/>
    <n v="57"/>
    <s v="Male"/>
    <x v="0"/>
    <s v="Loyal"/>
    <x v="191"/>
    <s v="North Carolina"/>
    <s v="USA"/>
    <x v="1"/>
    <n v="53141"/>
    <x v="5"/>
    <s v="Refunded"/>
    <s v="USD"/>
    <s v="Economy"/>
    <s v="WH-015"/>
    <s v="Cancelled"/>
    <s v="Returned"/>
    <s v="Product Not as Expected"/>
    <s v="Facebook Ads"/>
    <s v="FB_Retargeting"/>
    <s v="SAVE12"/>
    <n v="0"/>
    <n v="0"/>
    <x v="5"/>
    <n v="753.31"/>
    <n v="0"/>
    <n v="52.73"/>
    <n v="9.41"/>
    <n v="815.45"/>
    <n v="436.44"/>
    <n v="369.6"/>
    <n v="45.32"/>
    <n v="7044.92"/>
    <b v="1"/>
    <n v="7"/>
  </r>
  <r>
    <s v="ORD-953416"/>
    <x v="162"/>
    <d v="1899-12-30T04:58:51"/>
    <s v="Returned"/>
    <x v="1"/>
    <x v="193"/>
    <s v="Angela Martin"/>
    <n v="36"/>
    <s v="Female"/>
    <x v="0"/>
    <s v="Returning"/>
    <x v="192"/>
    <s v="Georgia"/>
    <s v="USA"/>
    <x v="1"/>
    <n v="87006"/>
    <x v="2"/>
    <s v="Refunded"/>
    <s v="USD"/>
    <s v="Economy"/>
    <s v="WH-007"/>
    <s v="Cancelled"/>
    <s v="Returned"/>
    <s v="Changed Mind"/>
    <s v="Email Marketing"/>
    <s v="Promo_Email"/>
    <s v="SAVE21"/>
    <n v="0"/>
    <n v="0"/>
    <x v="7"/>
    <n v="754.01"/>
    <n v="0"/>
    <n v="52.78"/>
    <n v="10.18"/>
    <n v="816.97"/>
    <n v="332.87"/>
    <n v="473.92"/>
    <n v="58.01"/>
    <n v="2292.11"/>
    <b v="1"/>
    <n v="2"/>
  </r>
  <r>
    <s v="ORD-390388"/>
    <x v="5"/>
    <d v="1899-12-30T10:37:30"/>
    <s v="Returned"/>
    <x v="2"/>
    <x v="194"/>
    <s v="Stephanie Carroll"/>
    <n v="37"/>
    <s v="Male"/>
    <x v="2"/>
    <s v="Loyal"/>
    <x v="193"/>
    <s v="North Carolina"/>
    <s v="USA"/>
    <x v="1"/>
    <n v="40167"/>
    <x v="4"/>
    <s v="Refunded"/>
    <s v="USD"/>
    <s v="Express"/>
    <s v="WH-016"/>
    <s v="Cancelled"/>
    <s v="Returned"/>
    <s v="Defective Product"/>
    <s v="Instagram"/>
    <s v="Insta_Reels"/>
    <s v="SAVE45"/>
    <n v="0"/>
    <n v="0"/>
    <x v="7"/>
    <n v="799.37"/>
    <n v="0"/>
    <n v="55.96"/>
    <n v="35.01"/>
    <n v="890.34"/>
    <n v="350.09"/>
    <n v="505.24"/>
    <n v="56.75"/>
    <n v="11927.84"/>
    <b v="1"/>
    <n v="10"/>
  </r>
  <r>
    <s v="ORD-155625"/>
    <x v="166"/>
    <d v="1899-12-30T19:28:00"/>
    <s v="Returned"/>
    <x v="1"/>
    <x v="195"/>
    <s v="Hannah Powell"/>
    <n v="38"/>
    <s v="Male"/>
    <x v="0"/>
    <s v="Loyal"/>
    <x v="194"/>
    <s v="Northern Ireland"/>
    <s v="UK"/>
    <x v="3"/>
    <n v="27774"/>
    <x v="0"/>
    <s v="Refunded"/>
    <s v="GBP"/>
    <s v="Same Day"/>
    <s v="WH-010"/>
    <s v="Cancelled"/>
    <s v="Returned"/>
    <s v="Damaged Product"/>
    <s v="Google Ads"/>
    <s v="Google_Display"/>
    <s v="SAVE39"/>
    <n v="0"/>
    <n v="0"/>
    <x v="6"/>
    <n v="180.43"/>
    <n v="0"/>
    <n v="36.090000000000003"/>
    <n v="19.649999999999999"/>
    <n v="236.17"/>
    <n v="75.11"/>
    <n v="141.41"/>
    <n v="59.88"/>
    <n v="9043.2099999999991"/>
    <b v="1"/>
    <n v="8"/>
  </r>
  <r>
    <s v="ORD-589587"/>
    <x v="167"/>
    <d v="1899-12-30T09:48:44"/>
    <s v="Returned"/>
    <x v="2"/>
    <x v="196"/>
    <s v="Jose Taylor"/>
    <n v="34"/>
    <s v="Male"/>
    <x v="2"/>
    <s v="Loyal"/>
    <x v="195"/>
    <s v="Georgia"/>
    <s v="USA"/>
    <x v="1"/>
    <n v="41532"/>
    <x v="0"/>
    <s v="Refunded"/>
    <s v="USD"/>
    <s v="Economy"/>
    <s v="WH-008"/>
    <s v="Cancelled"/>
    <s v="Returned"/>
    <s v="Other"/>
    <s v="Google Ads"/>
    <s v="Google_Display"/>
    <s v="SAVE34"/>
    <n v="0"/>
    <n v="0"/>
    <x v="9"/>
    <n v="397.7"/>
    <n v="0"/>
    <n v="27.84"/>
    <n v="3.68"/>
    <n v="429.22"/>
    <n v="148.55000000000001"/>
    <n v="276.99"/>
    <n v="64.53"/>
    <n v="4559.33"/>
    <b v="1"/>
    <n v="4"/>
  </r>
  <r>
    <s v="ORD-170068"/>
    <x v="168"/>
    <d v="1899-12-30T13:52:19"/>
    <s v="Returned"/>
    <x v="2"/>
    <x v="197"/>
    <s v="Kim Crawford"/>
    <n v="37"/>
    <s v="Male"/>
    <x v="2"/>
    <s v="Loyal"/>
    <x v="196"/>
    <s v="North Carolina"/>
    <s v="USA"/>
    <x v="1"/>
    <n v="66114"/>
    <x v="5"/>
    <s v="Refunded"/>
    <s v="USD"/>
    <s v="Economy"/>
    <s v="WH-014"/>
    <s v="Cancelled"/>
    <s v="Returned"/>
    <s v="Changed Mind"/>
    <s v="Affiliate"/>
    <s v="Affiliate_Partner"/>
    <s v="SAVE39"/>
    <n v="0"/>
    <n v="0"/>
    <x v="0"/>
    <n v="1883.82"/>
    <n v="0"/>
    <n v="131.86000000000001"/>
    <n v="0.86"/>
    <n v="2016.54"/>
    <n v="792.38"/>
    <n v="1223.3"/>
    <n v="60.66"/>
    <n v="3211.66"/>
    <b v="1"/>
    <n v="4"/>
  </r>
  <r>
    <s v="ORD-772216"/>
    <x v="169"/>
    <d v="1899-12-30T15:39:30"/>
    <s v="Returned"/>
    <x v="0"/>
    <x v="198"/>
    <s v="Trevor Arellano"/>
    <n v="28"/>
    <s v="Female"/>
    <x v="0"/>
    <s v="Loyal"/>
    <x v="197"/>
    <s v="New York"/>
    <s v="USA"/>
    <x v="0"/>
    <n v="57657"/>
    <x v="5"/>
    <s v="Refunded"/>
    <s v="USD"/>
    <s v="Standard"/>
    <s v="WH-016"/>
    <s v="Cancelled"/>
    <s v="Returned"/>
    <s v="Late Delivery"/>
    <s v="Instagram"/>
    <s v="Insta_Stories"/>
    <s v="SAVE20"/>
    <n v="0"/>
    <n v="0"/>
    <x v="0"/>
    <n v="1285.05"/>
    <n v="0"/>
    <n v="89.96"/>
    <n v="11.74"/>
    <n v="1386.75"/>
    <n v="593.21"/>
    <n v="781.8"/>
    <n v="56.38"/>
    <n v="5459.67"/>
    <b v="1"/>
    <n v="5"/>
  </r>
  <r>
    <s v="ORD-840826"/>
    <x v="37"/>
    <d v="1899-12-30T05:52:17"/>
    <s v="Returned"/>
    <x v="1"/>
    <x v="199"/>
    <s v="Robert White"/>
    <n v="38"/>
    <s v="Male"/>
    <x v="0"/>
    <s v="Loyal"/>
    <x v="198"/>
    <s v="Queensland"/>
    <s v="Australia"/>
    <x v="4"/>
    <n v="29924"/>
    <x v="4"/>
    <s v="Refunded"/>
    <s v="AUD"/>
    <s v="Express"/>
    <s v="WH-016"/>
    <s v="Cancelled"/>
    <s v="Returned"/>
    <s v="Late Delivery"/>
    <s v="Organic Search"/>
    <s v="Default_Campaign"/>
    <s v="SAVE17"/>
    <n v="0"/>
    <n v="0"/>
    <x v="6"/>
    <n v="181.25"/>
    <n v="0"/>
    <n v="18.12"/>
    <n v="22.18"/>
    <n v="221.55"/>
    <n v="74.58"/>
    <n v="124.79"/>
    <n v="56.33"/>
    <n v="7452.16"/>
    <b v="1"/>
    <n v="7"/>
  </r>
  <r>
    <s v="ORD-677779"/>
    <x v="170"/>
    <d v="1899-12-30T02:44:00"/>
    <s v="Returned"/>
    <x v="2"/>
    <x v="200"/>
    <s v="Lisa Davis"/>
    <n v="29"/>
    <s v="Male"/>
    <x v="2"/>
    <s v="Loyal"/>
    <x v="199"/>
    <s v="Texas"/>
    <s v="USA"/>
    <x v="1"/>
    <n v="47372"/>
    <x v="5"/>
    <s v="Refunded"/>
    <s v="USD"/>
    <s v="Standard"/>
    <s v="WH-018"/>
    <s v="Cancelled"/>
    <s v="Returned"/>
    <s v="Wrong Product"/>
    <s v="Referral"/>
    <s v="Friend_Invite"/>
    <s v="SAVE44"/>
    <n v="0"/>
    <n v="0"/>
    <x v="4"/>
    <n v="1300.8399999999999"/>
    <n v="0"/>
    <n v="91.05"/>
    <n v="5.68"/>
    <n v="1397.57"/>
    <n v="530.02"/>
    <n v="861.87"/>
    <n v="61.67"/>
    <n v="12235.05"/>
    <b v="1"/>
    <n v="10"/>
  </r>
  <r>
    <s v="ORD-281719"/>
    <x v="171"/>
    <d v="1899-12-30T18:11:10"/>
    <s v="Returned"/>
    <x v="0"/>
    <x v="201"/>
    <s v="Shannon Holt"/>
    <n v="38"/>
    <s v="Male"/>
    <x v="1"/>
    <s v="Loyal"/>
    <x v="200"/>
    <s v="Michigan"/>
    <s v="USA"/>
    <x v="2"/>
    <n v="18683"/>
    <x v="6"/>
    <s v="Refunded"/>
    <s v="USD"/>
    <s v="Express"/>
    <s v="WH-018"/>
    <s v="Cancelled"/>
    <s v="Returned"/>
    <s v="Wrong Product"/>
    <s v="Google Ads"/>
    <s v="Google_Shopping"/>
    <s v="SAVE32"/>
    <n v="0"/>
    <n v="0"/>
    <x v="0"/>
    <n v="3312.1"/>
    <n v="0"/>
    <n v="231.84"/>
    <n v="34.43"/>
    <n v="3578.37"/>
    <n v="1532.97"/>
    <n v="2010.97"/>
    <n v="56.2"/>
    <n v="7784.73"/>
    <b v="1"/>
    <n v="8"/>
  </r>
  <r>
    <s v="ORD-757350"/>
    <x v="172"/>
    <d v="1899-12-30T18:38:45"/>
    <s v="Returned"/>
    <x v="0"/>
    <x v="202"/>
    <s v="Joshua Schwartz"/>
    <n v="48"/>
    <s v="Female"/>
    <x v="2"/>
    <s v="Loyal"/>
    <x v="201"/>
    <s v="New York"/>
    <s v="USA"/>
    <x v="0"/>
    <n v="92368"/>
    <x v="5"/>
    <s v="Refunded"/>
    <s v="USD"/>
    <s v="Economy"/>
    <s v="WH-016"/>
    <s v="Cancelled"/>
    <s v="Returned"/>
    <s v="Product Not as Expected"/>
    <s v="Organic Search"/>
    <s v="Default_Campaign"/>
    <s v="SAVE15"/>
    <n v="0"/>
    <n v="0"/>
    <x v="0"/>
    <n v="629.95000000000005"/>
    <n v="0"/>
    <n v="44.1"/>
    <n v="4.0999999999999996"/>
    <n v="678.15"/>
    <n v="288.26"/>
    <n v="385.79"/>
    <n v="56.89"/>
    <n v="7853.79"/>
    <b v="1"/>
    <n v="9"/>
  </r>
  <r>
    <s v="ORD-494885"/>
    <x v="173"/>
    <d v="1899-12-30T09:32:18"/>
    <s v="Returned"/>
    <x v="2"/>
    <x v="203"/>
    <s v="Michael Hughes"/>
    <n v="63"/>
    <s v="Male"/>
    <x v="2"/>
    <s v="Loyal"/>
    <x v="202"/>
    <s v="Georgia"/>
    <s v="USA"/>
    <x v="1"/>
    <n v="73729"/>
    <x v="5"/>
    <s v="Refunded"/>
    <s v="USD"/>
    <s v="Economy"/>
    <s v="WH-010"/>
    <s v="Cancelled"/>
    <s v="Returned"/>
    <s v="Defective Product"/>
    <s v="Facebook Ads"/>
    <s v="FB_Prospecting"/>
    <s v="SAVE37"/>
    <n v="0"/>
    <n v="0"/>
    <x v="3"/>
    <n v="930.85"/>
    <n v="0"/>
    <n v="65.16"/>
    <n v="45.93"/>
    <n v="1041.94"/>
    <n v="403.64"/>
    <n v="592.37"/>
    <n v="56.85"/>
    <n v="12046.84"/>
    <b v="1"/>
    <n v="7"/>
  </r>
  <r>
    <s v="ORD-609129"/>
    <x v="174"/>
    <d v="1899-12-30T15:53:14"/>
    <s v="Returned"/>
    <x v="2"/>
    <x v="204"/>
    <s v="Nicholas Rose"/>
    <n v="50"/>
    <s v="Female"/>
    <x v="2"/>
    <s v="Loyal"/>
    <x v="203"/>
    <s v="Ajman"/>
    <s v="UAE"/>
    <x v="4"/>
    <n v="709"/>
    <x v="5"/>
    <s v="Refunded"/>
    <s v="AED"/>
    <s v="Standard"/>
    <s v="WH-006"/>
    <s v="Cancelled"/>
    <s v="Returned"/>
    <s v="Size Issue"/>
    <s v="Organic Search"/>
    <s v="Default_Campaign"/>
    <s v="SAVE43"/>
    <n v="0"/>
    <n v="0"/>
    <x v="0"/>
    <n v="1648.85"/>
    <n v="0"/>
    <n v="82.45"/>
    <n v="32.17"/>
    <n v="1763.47"/>
    <n v="890.88"/>
    <n v="840.42"/>
    <n v="47.66"/>
    <n v="12258.83"/>
    <b v="1"/>
    <n v="7"/>
  </r>
  <r>
    <s v="ORD-353757"/>
    <x v="175"/>
    <d v="1899-12-30T02:04:01"/>
    <s v="Returned"/>
    <x v="1"/>
    <x v="205"/>
    <s v="Pamela Benitez"/>
    <n v="61"/>
    <s v="Female"/>
    <x v="0"/>
    <s v="Loyal"/>
    <x v="204"/>
    <s v="Ohio"/>
    <s v="USA"/>
    <x v="2"/>
    <n v="14580"/>
    <x v="4"/>
    <s v="Refunded"/>
    <s v="USD"/>
    <s v="Same Day"/>
    <s v="WH-009"/>
    <s v="Cancelled"/>
    <s v="Returned"/>
    <s v="Product Not as Expected"/>
    <s v="Direct"/>
    <s v="Default_Campaign"/>
    <s v="SAVE24"/>
    <n v="0"/>
    <n v="0"/>
    <x v="6"/>
    <n v="29.57"/>
    <n v="0"/>
    <n v="2.0699999999999998"/>
    <n v="24.02"/>
    <n v="55.66"/>
    <n v="14.75"/>
    <n v="16.89"/>
    <n v="30.34"/>
    <n v="3617.46"/>
    <b v="1"/>
    <n v="7"/>
  </r>
  <r>
    <s v="ORD-133926"/>
    <x v="176"/>
    <d v="1899-12-30T12:11:08"/>
    <s v="Returned"/>
    <x v="0"/>
    <x v="206"/>
    <s v="Jeffrey Martinez"/>
    <n v="59"/>
    <s v="Male"/>
    <x v="0"/>
    <s v="Loyal"/>
    <x v="205"/>
    <s v="England"/>
    <s v="UK"/>
    <x v="4"/>
    <n v="50367"/>
    <x v="5"/>
    <s v="Refunded"/>
    <s v="GBP"/>
    <s v="Economy"/>
    <s v="WH-003"/>
    <s v="Cancelled"/>
    <s v="Returned"/>
    <s v="Size Issue"/>
    <s v="Organic Search"/>
    <s v="Default_Campaign"/>
    <s v="SAVE12"/>
    <n v="0"/>
    <n v="0"/>
    <x v="7"/>
    <n v="693.73"/>
    <n v="0"/>
    <n v="138.75"/>
    <n v="13.29"/>
    <n v="845.77"/>
    <n v="353.41"/>
    <n v="479.07"/>
    <n v="56.64"/>
    <n v="14519.54"/>
    <b v="1"/>
    <n v="6"/>
  </r>
  <r>
    <s v="ORD-480983"/>
    <x v="177"/>
    <d v="1899-12-30T11:19:55"/>
    <s v="Returned"/>
    <x v="1"/>
    <x v="207"/>
    <s v="Cynthia Lawrence"/>
    <n v="64"/>
    <s v="Female"/>
    <x v="1"/>
    <s v="Loyal"/>
    <x v="87"/>
    <s v="Michigan"/>
    <s v="USA"/>
    <x v="2"/>
    <n v="85094"/>
    <x v="0"/>
    <s v="Refunded"/>
    <s v="USD"/>
    <s v="Economy"/>
    <s v="WH-011"/>
    <s v="Cancelled"/>
    <s v="Returned"/>
    <s v="Wrong Product"/>
    <s v="Facebook Ads"/>
    <s v="FB_Prospecting"/>
    <s v="SAVE21"/>
    <n v="0"/>
    <n v="0"/>
    <x v="3"/>
    <n v="2986.17"/>
    <n v="0"/>
    <n v="209.03"/>
    <n v="7.27"/>
    <n v="3202.47"/>
    <n v="1484.73"/>
    <n v="1710.47"/>
    <n v="53.41"/>
    <n v="15258.58"/>
    <b v="1"/>
    <n v="7"/>
  </r>
  <r>
    <s v="ORD-925185"/>
    <x v="178"/>
    <d v="1899-12-30T19:27:42"/>
    <s v="Returned"/>
    <x v="3"/>
    <x v="208"/>
    <s v="Charles Lewis"/>
    <n v="54"/>
    <s v="Female"/>
    <x v="3"/>
    <s v="Loyal"/>
    <x v="206"/>
    <s v="Texas"/>
    <s v="USA"/>
    <x v="1"/>
    <n v="36472"/>
    <x v="3"/>
    <s v="Refunded"/>
    <s v="USD"/>
    <s v="Standard"/>
    <s v="WH-013"/>
    <s v="Cancelled"/>
    <s v="Returned"/>
    <s v="Changed Mind"/>
    <s v="Organic Search"/>
    <s v="Default_Campaign"/>
    <s v="SAVE31"/>
    <n v="0"/>
    <n v="0"/>
    <x v="9"/>
    <n v="1416.84"/>
    <n v="0"/>
    <n v="99.18"/>
    <n v="8.61"/>
    <n v="1524.63"/>
    <n v="669.71"/>
    <n v="846.31"/>
    <n v="55.51"/>
    <n v="10629.83"/>
    <b v="1"/>
    <n v="9"/>
  </r>
  <r>
    <s v="ORD-263358"/>
    <x v="3"/>
    <d v="1899-12-30T21:53:22"/>
    <s v="Returned"/>
    <x v="1"/>
    <x v="209"/>
    <s v="Daniel James"/>
    <n v="73"/>
    <s v="Male"/>
    <x v="1"/>
    <s v="Returning"/>
    <x v="207"/>
    <s v="Gujarat"/>
    <s v="India"/>
    <x v="3"/>
    <n v="79790"/>
    <x v="0"/>
    <s v="Refunded"/>
    <s v="INR"/>
    <s v="Express"/>
    <s v="WH-004"/>
    <s v="Cancelled"/>
    <s v="Returned"/>
    <s v="Defective Product"/>
    <s v="Organic Search"/>
    <s v="Default_Campaign"/>
    <s v="SAVE42"/>
    <n v="0"/>
    <n v="0"/>
    <x v="3"/>
    <n v="1348.6"/>
    <n v="0"/>
    <n v="242.75"/>
    <n v="21.83"/>
    <n v="1613.18"/>
    <n v="602.67999999999995"/>
    <n v="988.67"/>
    <n v="61.29"/>
    <n v="3799.58"/>
    <b v="1"/>
    <n v="3"/>
  </r>
  <r>
    <s v="ORD-737956"/>
    <x v="179"/>
    <d v="1899-12-30T20:59:06"/>
    <s v="Returned"/>
    <x v="3"/>
    <x v="210"/>
    <s v="Chad Flores"/>
    <n v="55"/>
    <s v="Male"/>
    <x v="1"/>
    <s v="Loyal"/>
    <x v="208"/>
    <s v="California"/>
    <s v="USA"/>
    <x v="3"/>
    <n v="87015"/>
    <x v="0"/>
    <s v="Refunded"/>
    <s v="USD"/>
    <s v="Standard"/>
    <s v="WH-014"/>
    <s v="Cancelled"/>
    <s v="Returned"/>
    <s v="Product Not as Expected"/>
    <s v="YouTube"/>
    <s v="Default_Campaign"/>
    <s v="SAVE37"/>
    <n v="0"/>
    <n v="0"/>
    <x v="6"/>
    <n v="26.36"/>
    <n v="0"/>
    <n v="1.85"/>
    <n v="2.5"/>
    <n v="30.71"/>
    <n v="10.75"/>
    <n v="17.46"/>
    <n v="56.85"/>
    <n v="12314.34"/>
    <b v="1"/>
    <n v="12"/>
  </r>
  <r>
    <s v="ORD-902653"/>
    <x v="180"/>
    <d v="1899-12-30T09:09:13"/>
    <s v="Returned"/>
    <x v="1"/>
    <x v="211"/>
    <s v="Nicholas Campos"/>
    <n v="50"/>
    <s v="Male"/>
    <x v="2"/>
    <s v="Loyal"/>
    <x v="209"/>
    <s v="Georgia"/>
    <s v="USA"/>
    <x v="1"/>
    <n v="13794"/>
    <x v="1"/>
    <s v="Refunded"/>
    <s v="USD"/>
    <s v="Standard"/>
    <s v="WH-012"/>
    <s v="Cancelled"/>
    <s v="Returned"/>
    <s v="Changed Mind"/>
    <s v="Email Marketing"/>
    <s v="Abandoned_Cart"/>
    <s v="SAVE43"/>
    <n v="0"/>
    <n v="0"/>
    <x v="11"/>
    <n v="1749.58"/>
    <n v="0"/>
    <n v="122.46"/>
    <n v="29.42"/>
    <n v="1901.46"/>
    <n v="827.19"/>
    <n v="1044.8499999999999"/>
    <n v="54.95"/>
    <n v="10089.6"/>
    <b v="1"/>
    <n v="7"/>
  </r>
  <r>
    <s v="ORD-917165"/>
    <x v="181"/>
    <d v="1899-12-30T17:46:07"/>
    <s v="Returned"/>
    <x v="0"/>
    <x v="212"/>
    <s v="Victoria Nguyen"/>
    <n v="27"/>
    <s v="Male"/>
    <x v="0"/>
    <s v="Loyal"/>
    <x v="210"/>
    <s v="New York"/>
    <s v="USA"/>
    <x v="0"/>
    <n v="95641"/>
    <x v="3"/>
    <s v="Refunded"/>
    <s v="USD"/>
    <s v="Standard"/>
    <s v="WH-006"/>
    <s v="Cancelled"/>
    <s v="Returned"/>
    <s v="Late Delivery"/>
    <s v="Email Marketing"/>
    <s v="Abandoned_Cart"/>
    <s v="SAVE41"/>
    <n v="0"/>
    <n v="0"/>
    <x v="7"/>
    <n v="311.33999999999997"/>
    <n v="0"/>
    <n v="21.8"/>
    <n v="11.33"/>
    <n v="344.47"/>
    <n v="142.97"/>
    <n v="190.17"/>
    <n v="55.21"/>
    <n v="5270.66"/>
    <b v="1"/>
    <n v="8"/>
  </r>
  <r>
    <s v="ORD-348347"/>
    <x v="182"/>
    <d v="1899-12-30T19:16:06"/>
    <s v="Returned"/>
    <x v="0"/>
    <x v="213"/>
    <s v="Kathy Kelly"/>
    <n v="58"/>
    <s v="Male"/>
    <x v="1"/>
    <s v="Loyal"/>
    <x v="211"/>
    <s v="Texas"/>
    <s v="USA"/>
    <x v="1"/>
    <n v="89357"/>
    <x v="5"/>
    <s v="Refunded"/>
    <s v="USD"/>
    <s v="Standard"/>
    <s v="WH-006"/>
    <s v="Cancelled"/>
    <s v="Returned"/>
    <s v="Late Delivery"/>
    <s v="Google Ads"/>
    <s v="Google_Display"/>
    <s v="SAVE27"/>
    <n v="0"/>
    <n v="0"/>
    <x v="1"/>
    <n v="1309.3599999999999"/>
    <n v="0"/>
    <n v="91.65"/>
    <n v="10.42"/>
    <n v="1411.43"/>
    <n v="627.55999999999995"/>
    <n v="773.45"/>
    <n v="54.8"/>
    <n v="5434.19"/>
    <b v="1"/>
    <n v="4"/>
  </r>
  <r>
    <s v="ORD-236519"/>
    <x v="93"/>
    <d v="1899-12-30T06:37:40"/>
    <s v="Returned"/>
    <x v="0"/>
    <x v="214"/>
    <s v="Claire Raymond"/>
    <n v="50"/>
    <s v="Female"/>
    <x v="0"/>
    <s v="Loyal"/>
    <x v="212"/>
    <s v="Victoria"/>
    <s v="Australia"/>
    <x v="1"/>
    <n v="87294"/>
    <x v="4"/>
    <s v="Refunded"/>
    <s v="AUD"/>
    <s v="Standard"/>
    <s v="WH-011"/>
    <s v="Cancelled"/>
    <s v="Returned"/>
    <s v="Defective Product"/>
    <s v="Organic Search"/>
    <s v="Default_Campaign"/>
    <s v="SAVE38"/>
    <n v="0"/>
    <n v="0"/>
    <x v="10"/>
    <n v="2137.6"/>
    <n v="0"/>
    <n v="213.76"/>
    <n v="63.93"/>
    <n v="2415.29"/>
    <n v="1038.5"/>
    <n v="1312.86"/>
    <n v="54.36"/>
    <n v="7592.36"/>
    <b v="1"/>
    <n v="6"/>
  </r>
  <r>
    <s v="ORD-750252"/>
    <x v="31"/>
    <d v="1899-12-30T18:28:45"/>
    <s v="Returned"/>
    <x v="1"/>
    <x v="215"/>
    <s v="Jerry Arnold"/>
    <n v="49"/>
    <s v="Male"/>
    <x v="3"/>
    <s v="Loyal"/>
    <x v="213"/>
    <s v="Manitoba"/>
    <s v="Canada"/>
    <x v="2"/>
    <n v="88115"/>
    <x v="5"/>
    <s v="Refunded"/>
    <s v="CAD"/>
    <s v="Standard"/>
    <s v="WH-005"/>
    <s v="Cancelled"/>
    <s v="Returned"/>
    <s v="Late Delivery"/>
    <s v="Direct"/>
    <s v="Default_Campaign"/>
    <s v="SAVE14"/>
    <n v="0"/>
    <n v="0"/>
    <x v="0"/>
    <n v="421.39"/>
    <n v="0"/>
    <n v="54.78"/>
    <n v="17.309999999999999"/>
    <n v="493.48"/>
    <n v="194.08"/>
    <n v="282.08999999999997"/>
    <n v="57.16"/>
    <n v="5997.45"/>
    <b v="1"/>
    <n v="6"/>
  </r>
  <r>
    <s v="ORD-178469"/>
    <x v="183"/>
    <d v="1899-12-30T06:56:31"/>
    <s v="Returned"/>
    <x v="0"/>
    <x v="216"/>
    <s v="Kathryn Wolfe"/>
    <n v="26"/>
    <s v="Non-Binary"/>
    <x v="3"/>
    <s v="Loyal"/>
    <x v="214"/>
    <s v="Illinois"/>
    <s v="USA"/>
    <x v="2"/>
    <n v="22444"/>
    <x v="5"/>
    <s v="Refunded"/>
    <s v="USD"/>
    <s v="Standard"/>
    <s v="WH-003"/>
    <s v="Cancelled"/>
    <s v="Returned"/>
    <s v="Damaged Product"/>
    <s v="Organic Search"/>
    <s v="Default_Campaign"/>
    <s v="SAVE36"/>
    <n v="0"/>
    <n v="0"/>
    <x v="4"/>
    <n v="1820.54"/>
    <n v="0"/>
    <n v="127.44"/>
    <n v="38.83"/>
    <n v="1986.81"/>
    <n v="892.17"/>
    <n v="1055.81"/>
    <n v="53.14"/>
    <n v="4895.4799999999996"/>
    <b v="1"/>
    <n v="6"/>
  </r>
  <r>
    <s v="ORD-251729"/>
    <x v="184"/>
    <d v="1899-12-30T23:04:24"/>
    <s v="Returned"/>
    <x v="0"/>
    <x v="217"/>
    <s v="David Hall"/>
    <n v="71"/>
    <s v="Male"/>
    <x v="0"/>
    <s v="Loyal"/>
    <x v="215"/>
    <s v="Bavaria"/>
    <s v="Germany"/>
    <x v="1"/>
    <n v="77359"/>
    <x v="0"/>
    <s v="Refunded"/>
    <s v="EUR"/>
    <s v="Same Day"/>
    <s v="WH-004"/>
    <s v="Cancelled"/>
    <s v="Returned"/>
    <s v="Wrong Product"/>
    <s v="Direct"/>
    <s v="Default_Campaign"/>
    <s v="SAVE48"/>
    <n v="0"/>
    <n v="0"/>
    <x v="7"/>
    <n v="160.63999999999999"/>
    <n v="0"/>
    <n v="30.52"/>
    <n v="19.71"/>
    <n v="210.87"/>
    <n v="68.88"/>
    <n v="122.28"/>
    <n v="57.99"/>
    <n v="8812.2199999999993"/>
    <b v="1"/>
    <n v="6"/>
  </r>
  <r>
    <s v="ORD-858967"/>
    <x v="167"/>
    <d v="1899-12-30T08:34:57"/>
    <s v="Returned"/>
    <x v="0"/>
    <x v="218"/>
    <s v="Emily Huynh"/>
    <n v="27"/>
    <s v="Female"/>
    <x v="2"/>
    <s v="Loyal"/>
    <x v="216"/>
    <s v="Texas"/>
    <s v="USA"/>
    <x v="1"/>
    <n v="75924"/>
    <x v="3"/>
    <s v="Refunded"/>
    <s v="USD"/>
    <s v="Economy"/>
    <s v="WH-009"/>
    <s v="Cancelled"/>
    <s v="Returned"/>
    <s v="Defective Product"/>
    <s v="Direct"/>
    <s v="Default_Campaign"/>
    <s v="SAVE47"/>
    <n v="0"/>
    <n v="0"/>
    <x v="3"/>
    <n v="1016"/>
    <n v="0"/>
    <n v="71.13"/>
    <n v="15.4"/>
    <n v="1102.53"/>
    <n v="432.15"/>
    <n v="654.98"/>
    <n v="59.41"/>
    <n v="2051.87"/>
    <b v="1"/>
    <n v="5"/>
  </r>
  <r>
    <s v="ORD-415791"/>
    <x v="185"/>
    <d v="1899-12-30T21:53:11"/>
    <s v="Returned"/>
    <x v="3"/>
    <x v="219"/>
    <s v="Allen Smith"/>
    <n v="50"/>
    <s v="Male"/>
    <x v="0"/>
    <s v="Returning"/>
    <x v="217"/>
    <s v="Texas"/>
    <s v="USA"/>
    <x v="1"/>
    <n v="9971"/>
    <x v="1"/>
    <s v="Refunded"/>
    <s v="USD"/>
    <s v="Standard"/>
    <s v="WH-005"/>
    <s v="Cancelled"/>
    <s v="Returned"/>
    <s v="Size Issue"/>
    <s v="Direct"/>
    <s v="Default_Campaign"/>
    <s v="SAVE23"/>
    <n v="0"/>
    <n v="0"/>
    <x v="0"/>
    <n v="1649.52"/>
    <n v="0"/>
    <n v="115.47"/>
    <n v="14.57"/>
    <n v="1779.56"/>
    <n v="1017.44"/>
    <n v="747.55"/>
    <n v="42.01"/>
    <n v="6705.89"/>
    <b v="1"/>
    <n v="3"/>
  </r>
  <r>
    <s v="ORD-183586"/>
    <x v="17"/>
    <d v="1899-12-30T13:42:05"/>
    <s v="Returned"/>
    <x v="1"/>
    <x v="220"/>
    <s v="Linda Ortiz"/>
    <n v="22"/>
    <s v="Male"/>
    <x v="0"/>
    <s v="Loyal"/>
    <x v="218"/>
    <s v="Georgia"/>
    <s v="USA"/>
    <x v="1"/>
    <n v="33745"/>
    <x v="2"/>
    <s v="Refunded"/>
    <s v="USD"/>
    <s v="Standard"/>
    <s v="WH-013"/>
    <s v="Cancelled"/>
    <s v="Returned"/>
    <s v="Wrong Product"/>
    <s v="Email Marketing"/>
    <s v="Weekly_Newsletter"/>
    <s v="SAVE47"/>
    <n v="0"/>
    <n v="0"/>
    <x v="7"/>
    <n v="1549.37"/>
    <n v="0"/>
    <n v="108.46"/>
    <n v="10.130000000000001"/>
    <n v="1667.96"/>
    <n v="746.34"/>
    <n v="911.49"/>
    <n v="54.65"/>
    <n v="4894.1099999999997"/>
    <b v="1"/>
    <n v="4"/>
  </r>
  <r>
    <s v="ORD-632269"/>
    <x v="186"/>
    <d v="1899-12-30T15:54:24"/>
    <s v="Returned"/>
    <x v="1"/>
    <x v="221"/>
    <s v="John Sullivan"/>
    <n v="72"/>
    <s v="Female"/>
    <x v="0"/>
    <s v="Loyal"/>
    <x v="219"/>
    <s v="British Columbia"/>
    <s v="Canada"/>
    <x v="3"/>
    <n v="34890"/>
    <x v="0"/>
    <s v="Refunded"/>
    <s v="CAD"/>
    <s v="Standard"/>
    <s v="WH-013"/>
    <s v="Cancelled"/>
    <s v="Returned"/>
    <s v="Size Issue"/>
    <s v="Direct"/>
    <s v="Default_Campaign"/>
    <s v="SAVE48"/>
    <n v="0"/>
    <n v="0"/>
    <x v="5"/>
    <n v="950.04"/>
    <n v="0"/>
    <n v="123.51"/>
    <n v="15.61"/>
    <n v="1089.1600000000001"/>
    <n v="422.57"/>
    <n v="650.98"/>
    <n v="59.77"/>
    <n v="13717.73"/>
    <b v="1"/>
    <n v="9"/>
  </r>
  <r>
    <s v="ORD-744370"/>
    <x v="187"/>
    <d v="1899-12-30T18:51:26"/>
    <s v="Returned"/>
    <x v="0"/>
    <x v="222"/>
    <s v="Samantha Morris"/>
    <n v="40"/>
    <s v="Female"/>
    <x v="0"/>
    <s v="Returning"/>
    <x v="220"/>
    <s v="England"/>
    <s v="UK"/>
    <x v="4"/>
    <n v="22203"/>
    <x v="5"/>
    <s v="Refunded"/>
    <s v="GBP"/>
    <s v="Standard"/>
    <s v="WH-011"/>
    <s v="Cancelled"/>
    <s v="Returned"/>
    <s v="Size Issue"/>
    <s v="Google Ads"/>
    <s v="Google_Shopping"/>
    <s v="SAVE38"/>
    <n v="0"/>
    <n v="0"/>
    <x v="6"/>
    <n v="371.72"/>
    <n v="0"/>
    <n v="74.34"/>
    <n v="4.7300000000000004"/>
    <n v="450.79"/>
    <n v="208.47"/>
    <n v="237.59"/>
    <n v="52.71"/>
    <n v="3218.22"/>
    <b v="1"/>
    <n v="3"/>
  </r>
  <r>
    <s v="ORD-199832"/>
    <x v="188"/>
    <d v="1899-12-30T23:54:17"/>
    <s v="Returned"/>
    <x v="1"/>
    <x v="223"/>
    <s v="Kevin Graham"/>
    <n v="65"/>
    <s v="Male"/>
    <x v="3"/>
    <s v="Returning"/>
    <x v="221"/>
    <s v="New York"/>
    <s v="USA"/>
    <x v="0"/>
    <n v="89105"/>
    <x v="5"/>
    <s v="Refunded"/>
    <s v="USD"/>
    <s v="Economy"/>
    <s v="WH-011"/>
    <s v="Cancelled"/>
    <s v="Returned"/>
    <s v="Other"/>
    <s v="Facebook Ads"/>
    <s v="FB_Dynamic"/>
    <s v="SAVE49"/>
    <n v="0"/>
    <n v="0"/>
    <x v="6"/>
    <n v="202.84"/>
    <n v="0"/>
    <n v="14.2"/>
    <n v="3.96"/>
    <n v="221"/>
    <n v="107.97"/>
    <n v="109.07"/>
    <n v="49.35"/>
    <n v="4192.78"/>
    <b v="1"/>
    <n v="3"/>
  </r>
  <r>
    <s v="ORD-413033"/>
    <x v="189"/>
    <d v="1899-12-30T08:33:47"/>
    <s v="Returned"/>
    <x v="2"/>
    <x v="224"/>
    <s v="Darrell Williams"/>
    <n v="19"/>
    <s v="Male"/>
    <x v="1"/>
    <s v="Loyal"/>
    <x v="222"/>
    <s v="Northern Ireland"/>
    <s v="UK"/>
    <x v="3"/>
    <n v="11758"/>
    <x v="0"/>
    <s v="Refunded"/>
    <s v="GBP"/>
    <s v="Same Day"/>
    <s v="WH-008"/>
    <s v="Cancelled"/>
    <s v="Returned"/>
    <s v="Wrong Product"/>
    <s v="Email Marketing"/>
    <s v="Abandoned_Cart"/>
    <s v="SAVE21"/>
    <n v="0"/>
    <n v="0"/>
    <x v="5"/>
    <n v="784.31"/>
    <n v="0"/>
    <n v="156.85"/>
    <n v="21.39"/>
    <n v="962.55"/>
    <n v="417.84"/>
    <n v="523.32000000000005"/>
    <n v="54.37"/>
    <n v="9790.51"/>
    <b v="1"/>
    <n v="6"/>
  </r>
  <r>
    <s v="ORD-504810"/>
    <x v="190"/>
    <d v="1899-12-30T03:41:22"/>
    <s v="Returned"/>
    <x v="0"/>
    <x v="225"/>
    <s v="Jacqueline Payne"/>
    <n v="62"/>
    <s v="Male"/>
    <x v="0"/>
    <s v="Loyal"/>
    <x v="223"/>
    <s v="British Columbia"/>
    <s v="Canada"/>
    <x v="3"/>
    <n v="9408"/>
    <x v="5"/>
    <s v="Refunded"/>
    <s v="CAD"/>
    <s v="Standard"/>
    <s v="WH-011"/>
    <s v="Cancelled"/>
    <s v="Returned"/>
    <s v="Defective Product"/>
    <s v="Facebook Ads"/>
    <s v="FB_Prospecting"/>
    <s v="SAVE47"/>
    <n v="0"/>
    <n v="0"/>
    <x v="9"/>
    <n v="1048.1600000000001"/>
    <n v="0"/>
    <n v="136.26"/>
    <n v="6.99"/>
    <n v="1191.4100000000001"/>
    <n v="610.1"/>
    <n v="574.32000000000005"/>
    <n v="48.21"/>
    <n v="6892.3"/>
    <b v="1"/>
    <n v="8"/>
  </r>
  <r>
    <s v="ORD-605600"/>
    <x v="191"/>
    <d v="1899-12-30T01:19:27"/>
    <s v="Returned"/>
    <x v="0"/>
    <x v="226"/>
    <s v="Steven Booth"/>
    <n v="29"/>
    <s v="Male"/>
    <x v="0"/>
    <s v="Loyal"/>
    <x v="224"/>
    <s v="Scotland"/>
    <s v="UK"/>
    <x v="4"/>
    <n v="72827"/>
    <x v="1"/>
    <s v="Refunded"/>
    <s v="GBP"/>
    <s v="Express"/>
    <s v="WH-017"/>
    <s v="Cancelled"/>
    <s v="Returned"/>
    <s v="Wrong Product"/>
    <s v="Email Marketing"/>
    <s v="Weekly_Newsletter"/>
    <s v="SAVE32"/>
    <n v="0"/>
    <n v="0"/>
    <x v="0"/>
    <n v="1295.99"/>
    <n v="0"/>
    <n v="259.2"/>
    <n v="22.24"/>
    <n v="1577.43"/>
    <n v="639.54999999999995"/>
    <n v="915.64"/>
    <n v="58.05"/>
    <n v="7064.68"/>
    <b v="1"/>
    <n v="5"/>
  </r>
  <r>
    <s v="ORD-295271"/>
    <x v="192"/>
    <d v="1899-12-30T01:55:32"/>
    <s v="Returned"/>
    <x v="3"/>
    <x v="227"/>
    <s v="Tammy Hansen"/>
    <n v="59"/>
    <s v="Female"/>
    <x v="3"/>
    <s v="Loyal"/>
    <x v="225"/>
    <s v="Ohio"/>
    <s v="USA"/>
    <x v="2"/>
    <n v="65098"/>
    <x v="5"/>
    <s v="Refunded"/>
    <s v="USD"/>
    <s v="Same Day"/>
    <s v="WH-013"/>
    <s v="Cancelled"/>
    <s v="Returned"/>
    <s v="Other"/>
    <s v="Referral"/>
    <s v="Friend_Invite"/>
    <s v="SAVE29"/>
    <n v="0"/>
    <n v="0"/>
    <x v="0"/>
    <n v="1004.63"/>
    <n v="0"/>
    <n v="70.33"/>
    <n v="27.33"/>
    <n v="1102.29"/>
    <n v="412.32"/>
    <n v="662.64"/>
    <n v="60.11"/>
    <n v="12590.78"/>
    <b v="1"/>
    <n v="8"/>
  </r>
  <r>
    <s v="ORD-126738"/>
    <x v="159"/>
    <d v="1899-12-30T12:42:48"/>
    <s v="Returned"/>
    <x v="1"/>
    <x v="228"/>
    <s v="Tammy Howell"/>
    <n v="32"/>
    <s v="Male"/>
    <x v="0"/>
    <s v="Returning"/>
    <x v="226"/>
    <s v="New York"/>
    <s v="USA"/>
    <x v="0"/>
    <n v="80142"/>
    <x v="1"/>
    <s v="Refunded"/>
    <s v="USD"/>
    <s v="Express"/>
    <s v="WH-010"/>
    <s v="Cancelled"/>
    <s v="Returned"/>
    <s v="Wrong Product"/>
    <s v="Facebook Ads"/>
    <s v="FB_Dynamic"/>
    <s v="SAVE28"/>
    <n v="0"/>
    <n v="0"/>
    <x v="3"/>
    <n v="312.48"/>
    <n v="0"/>
    <n v="21.87"/>
    <n v="17.940000000000001"/>
    <n v="352.29"/>
    <n v="137.93"/>
    <n v="196.42"/>
    <n v="55.76"/>
    <n v="3490.22"/>
    <b v="1"/>
    <n v="2"/>
  </r>
  <r>
    <s v="ORD-591010"/>
    <x v="9"/>
    <d v="1899-12-30T07:28:02"/>
    <s v="Returned"/>
    <x v="1"/>
    <x v="229"/>
    <s v="Victor Ramsey"/>
    <n v="38"/>
    <s v="Male"/>
    <x v="0"/>
    <s v="Loyal"/>
    <x v="227"/>
    <s v="British Columbia"/>
    <s v="Canada"/>
    <x v="3"/>
    <n v="39867"/>
    <x v="5"/>
    <s v="Refunded"/>
    <s v="CAD"/>
    <s v="Same Day"/>
    <s v="WH-018"/>
    <s v="Cancelled"/>
    <s v="Returned"/>
    <s v="Changed Mind"/>
    <s v="Instagram"/>
    <s v="Insta_Influencer"/>
    <s v="SAVE24"/>
    <n v="0"/>
    <n v="0"/>
    <x v="12"/>
    <n v="1470.21"/>
    <n v="0"/>
    <n v="191.13"/>
    <n v="77.58"/>
    <n v="1738.92"/>
    <n v="669.54"/>
    <n v="991.8"/>
    <n v="57.04"/>
    <n v="9722.51"/>
    <b v="1"/>
    <n v="6"/>
  </r>
  <r>
    <s v="ORD-978738"/>
    <x v="193"/>
    <d v="1899-12-30T07:47:55"/>
    <s v="Returned"/>
    <x v="0"/>
    <x v="230"/>
    <s v="Terry Gray"/>
    <n v="24"/>
    <s v="Female"/>
    <x v="0"/>
    <s v="Loyal"/>
    <x v="228"/>
    <s v="Lower Saxony"/>
    <s v="Germany"/>
    <x v="4"/>
    <n v="82366"/>
    <x v="5"/>
    <s v="Refunded"/>
    <s v="EUR"/>
    <s v="Standard"/>
    <s v="WH-015"/>
    <s v="Cancelled"/>
    <s v="Returned"/>
    <s v="Damaged Product"/>
    <s v="Affiliate"/>
    <s v="Affiliate_Partner"/>
    <s v="SAVE35"/>
    <n v="0"/>
    <n v="0"/>
    <x v="5"/>
    <n v="1384.12"/>
    <n v="0"/>
    <n v="262.98"/>
    <n v="15.18"/>
    <n v="1662.28"/>
    <n v="743.41"/>
    <n v="903.69"/>
    <n v="54.36"/>
    <n v="4181.93"/>
    <b v="1"/>
    <n v="6"/>
  </r>
  <r>
    <s v="ORD-224316"/>
    <x v="194"/>
    <d v="1899-12-30T03:44:32"/>
    <s v="Returned"/>
    <x v="1"/>
    <x v="231"/>
    <s v="Pamela Bailey"/>
    <n v="19"/>
    <s v="Female"/>
    <x v="0"/>
    <s v="Loyal"/>
    <x v="229"/>
    <s v="Victoria"/>
    <s v="Australia"/>
    <x v="1"/>
    <n v="48673"/>
    <x v="0"/>
    <s v="Refunded"/>
    <s v="AUD"/>
    <s v="Economy"/>
    <s v="WH-008"/>
    <s v="Cancelled"/>
    <s v="Returned"/>
    <s v="Size Issue"/>
    <s v="Direct"/>
    <s v="Default_Campaign"/>
    <s v="SAVE35"/>
    <n v="0"/>
    <n v="0"/>
    <x v="13"/>
    <n v="7147.97"/>
    <n v="0"/>
    <n v="714.8"/>
    <n v="64.23"/>
    <n v="7927"/>
    <n v="4547.13"/>
    <n v="3315.64"/>
    <n v="41.83"/>
    <n v="17532.12"/>
    <b v="1"/>
    <n v="11"/>
  </r>
  <r>
    <s v="ORD-730056"/>
    <x v="195"/>
    <d v="1899-12-30T00:49:58"/>
    <s v="Returned"/>
    <x v="3"/>
    <x v="232"/>
    <s v="Thomas Hanna"/>
    <n v="52"/>
    <s v="Female"/>
    <x v="1"/>
    <s v="Returning"/>
    <x v="230"/>
    <s v="Lower Saxony"/>
    <s v="Germany"/>
    <x v="4"/>
    <n v="56016"/>
    <x v="5"/>
    <s v="Refunded"/>
    <s v="EUR"/>
    <s v="Economy"/>
    <s v="WH-005"/>
    <s v="Cancelled"/>
    <s v="Returned"/>
    <s v="Late Delivery"/>
    <s v="Google Ads"/>
    <s v="Google_Search_Q1"/>
    <s v="SAVE45"/>
    <n v="0"/>
    <n v="0"/>
    <x v="9"/>
    <n v="465.9"/>
    <n v="0"/>
    <n v="88.52"/>
    <n v="0.22"/>
    <n v="554.64"/>
    <n v="250.79"/>
    <n v="303.63"/>
    <n v="54.74"/>
    <n v="3773.77"/>
    <b v="1"/>
    <n v="2"/>
  </r>
  <r>
    <s v="ORD-950725"/>
    <x v="40"/>
    <d v="1899-12-30T03:52:18"/>
    <s v="Returned"/>
    <x v="0"/>
    <x v="233"/>
    <s v="David Steele"/>
    <n v="50"/>
    <s v="Male"/>
    <x v="0"/>
    <s v="Loyal"/>
    <x v="231"/>
    <s v="Georgia"/>
    <s v="USA"/>
    <x v="1"/>
    <n v="44602"/>
    <x v="4"/>
    <s v="Refunded"/>
    <s v="USD"/>
    <s v="Economy"/>
    <s v="WH-001"/>
    <s v="Cancelled"/>
    <s v="Returned"/>
    <s v="Defective Product"/>
    <s v="TikTok"/>
    <s v="Default_Campaign"/>
    <s v="SAVE34"/>
    <n v="0"/>
    <n v="0"/>
    <x v="6"/>
    <n v="100.2"/>
    <n v="0"/>
    <n v="7.01"/>
    <n v="3.86"/>
    <n v="111.07"/>
    <n v="51.15"/>
    <n v="56.06"/>
    <n v="50.47"/>
    <n v="3807.63"/>
    <b v="1"/>
    <n v="5"/>
  </r>
  <r>
    <s v="ORD-840111"/>
    <x v="196"/>
    <d v="1899-12-30T09:17:46"/>
    <s v="Returned"/>
    <x v="2"/>
    <x v="234"/>
    <s v="Melissa Hull"/>
    <n v="66"/>
    <s v="Male"/>
    <x v="0"/>
    <s v="Loyal"/>
    <x v="232"/>
    <s v="Ohio"/>
    <s v="USA"/>
    <x v="2"/>
    <n v="61281"/>
    <x v="0"/>
    <s v="Refunded"/>
    <s v="USD"/>
    <s v="Standard"/>
    <s v="WH-012"/>
    <s v="Cancelled"/>
    <s v="Returned"/>
    <s v="Damaged Product"/>
    <s v="Instagram"/>
    <s v="Insta_Influencer"/>
    <s v="SAVE24"/>
    <n v="0"/>
    <n v="0"/>
    <x v="6"/>
    <n v="320.91000000000003"/>
    <n v="0"/>
    <n v="22.46"/>
    <n v="5.56"/>
    <n v="348.93"/>
    <n v="173.12"/>
    <n v="170.25"/>
    <n v="48.79"/>
    <n v="6523.29"/>
    <b v="1"/>
    <n v="5"/>
  </r>
  <r>
    <s v="ORD-332307"/>
    <x v="134"/>
    <d v="1899-12-30T12:50:42"/>
    <s v="Returned"/>
    <x v="2"/>
    <x v="235"/>
    <s v="Brandon Park"/>
    <n v="27"/>
    <s v="Male"/>
    <x v="1"/>
    <s v="Loyal"/>
    <x v="233"/>
    <s v="North Carolina"/>
    <s v="USA"/>
    <x v="1"/>
    <n v="90624"/>
    <x v="3"/>
    <s v="Refunded"/>
    <s v="USD"/>
    <s v="Standard"/>
    <s v="WH-019"/>
    <s v="Cancelled"/>
    <s v="Returned"/>
    <s v="Changed Mind"/>
    <s v="Referral"/>
    <s v="Friend_Invite"/>
    <s v="SAVE44"/>
    <n v="0"/>
    <n v="0"/>
    <x v="9"/>
    <n v="337.58"/>
    <n v="0"/>
    <n v="23.63"/>
    <n v="2.58"/>
    <n v="363.79"/>
    <n v="201.28"/>
    <n v="159.93"/>
    <n v="43.96"/>
    <n v="18109.04"/>
    <b v="1"/>
    <n v="8"/>
  </r>
  <r>
    <s v="ORD-707638"/>
    <x v="197"/>
    <d v="1899-12-30T15:06:07"/>
    <s v="Returned"/>
    <x v="1"/>
    <x v="236"/>
    <s v="Bryan Lawson"/>
    <n v="20"/>
    <s v="Male"/>
    <x v="0"/>
    <s v="Loyal"/>
    <x v="234"/>
    <s v="North Carolina"/>
    <s v="USA"/>
    <x v="1"/>
    <n v="11746"/>
    <x v="4"/>
    <s v="Refunded"/>
    <s v="USD"/>
    <s v="Express"/>
    <s v="WH-018"/>
    <s v="Cancelled"/>
    <s v="Returned"/>
    <s v="Damaged Product"/>
    <s v="Direct"/>
    <s v="Default_Campaign"/>
    <s v="SAVE49"/>
    <n v="0"/>
    <n v="0"/>
    <x v="0"/>
    <n v="798.35"/>
    <n v="0"/>
    <n v="55.89"/>
    <n v="20.43"/>
    <n v="874.67"/>
    <n v="439.62"/>
    <n v="414.62"/>
    <n v="47.4"/>
    <n v="13367.95"/>
    <b v="1"/>
    <n v="8"/>
  </r>
  <r>
    <s v="ORD-822553"/>
    <x v="78"/>
    <d v="1899-12-30T18:42:02"/>
    <s v="Returned"/>
    <x v="3"/>
    <x v="237"/>
    <s v="Alexis Blevins"/>
    <n v="22"/>
    <s v="Male"/>
    <x v="0"/>
    <s v="Loyal"/>
    <x v="235"/>
    <s v="Bavaria"/>
    <s v="Germany"/>
    <x v="1"/>
    <n v="24630"/>
    <x v="5"/>
    <s v="Refunded"/>
    <s v="EUR"/>
    <s v="Same Day"/>
    <s v="WH-008"/>
    <s v="Cancelled"/>
    <s v="Returned"/>
    <s v="Late Delivery"/>
    <s v="Facebook Ads"/>
    <s v="FB_Prospecting"/>
    <s v="SAVE26"/>
    <n v="0"/>
    <n v="0"/>
    <x v="4"/>
    <n v="1413.77"/>
    <n v="0"/>
    <n v="268.62"/>
    <n v="45.8"/>
    <n v="1728.19"/>
    <n v="772.4"/>
    <n v="909.99"/>
    <n v="52.66"/>
    <n v="5129.5"/>
    <b v="1"/>
    <n v="6"/>
  </r>
  <r>
    <s v="ORD-685351"/>
    <x v="198"/>
    <d v="1899-12-30T00:49:56"/>
    <s v="Returned"/>
    <x v="1"/>
    <x v="238"/>
    <s v="Brenda Sheppard"/>
    <n v="56"/>
    <s v="Female"/>
    <x v="3"/>
    <s v="Loyal"/>
    <x v="236"/>
    <s v="New York"/>
    <s v="USA"/>
    <x v="0"/>
    <n v="16890"/>
    <x v="0"/>
    <s v="Refunded"/>
    <s v="USD"/>
    <s v="Standard"/>
    <s v="WH-009"/>
    <s v="Cancelled"/>
    <s v="Returned"/>
    <s v="Wrong Product"/>
    <s v="Instagram"/>
    <s v="Insta_Influencer"/>
    <s v="SAVE12"/>
    <n v="0"/>
    <n v="0"/>
    <x v="9"/>
    <n v="248.88"/>
    <n v="0"/>
    <n v="17.420000000000002"/>
    <n v="6.32"/>
    <n v="272.62"/>
    <n v="117.46"/>
    <n v="148.84"/>
    <n v="54.6"/>
    <n v="6366.93"/>
    <b v="1"/>
    <n v="9"/>
  </r>
  <r>
    <s v="ORD-291471"/>
    <x v="199"/>
    <d v="1899-12-30T15:57:30"/>
    <s v="Returned"/>
    <x v="2"/>
    <x v="239"/>
    <s v="Brandon Mcdonald"/>
    <n v="59"/>
    <s v="Male"/>
    <x v="2"/>
    <s v="Loyal"/>
    <x v="237"/>
    <s v="New South Wales"/>
    <s v="Australia"/>
    <x v="0"/>
    <n v="20611"/>
    <x v="4"/>
    <s v="Refunded"/>
    <s v="AUD"/>
    <s v="Standard"/>
    <s v="WH-002"/>
    <s v="Cancelled"/>
    <s v="Returned"/>
    <s v="Damaged Product"/>
    <s v="Facebook Ads"/>
    <s v="FB_Prospecting"/>
    <s v="SAVE31"/>
    <n v="0"/>
    <n v="0"/>
    <x v="10"/>
    <n v="2276.5500000000002"/>
    <n v="0"/>
    <n v="227.65"/>
    <n v="34.03"/>
    <n v="2538.23"/>
    <n v="1084.46"/>
    <n v="1419.74"/>
    <n v="55.93"/>
    <n v="24132.42"/>
    <b v="1"/>
    <n v="12"/>
  </r>
  <r>
    <s v="ORD-955088"/>
    <x v="200"/>
    <d v="1899-12-30T21:57:41"/>
    <s v="Returned"/>
    <x v="0"/>
    <x v="240"/>
    <s v="Patty Park"/>
    <n v="21"/>
    <s v="Male"/>
    <x v="0"/>
    <s v="Loyal"/>
    <x v="238"/>
    <s v="Scotland"/>
    <s v="UK"/>
    <x v="4"/>
    <n v="17175"/>
    <x v="3"/>
    <s v="Refunded"/>
    <s v="GBP"/>
    <s v="Economy"/>
    <s v="WH-013"/>
    <s v="Cancelled"/>
    <s v="Returned"/>
    <s v="Damaged Product"/>
    <s v="Instagram"/>
    <s v="Insta_Influencer"/>
    <s v="SAVE28"/>
    <n v="0"/>
    <n v="0"/>
    <x v="5"/>
    <n v="910.78"/>
    <n v="0"/>
    <n v="182.16"/>
    <n v="13.01"/>
    <n v="1105.95"/>
    <n v="388.4"/>
    <n v="704.54"/>
    <n v="63.7"/>
    <n v="15084.01"/>
    <b v="1"/>
    <n v="11"/>
  </r>
  <r>
    <s v="ORD-872195"/>
    <x v="201"/>
    <d v="1899-12-30T21:49:11"/>
    <s v="Returned"/>
    <x v="0"/>
    <x v="241"/>
    <s v="Jeremy Elliott"/>
    <n v="35"/>
    <s v="Non-Binary"/>
    <x v="0"/>
    <s v="Loyal"/>
    <x v="239"/>
    <s v="Quebec"/>
    <s v="Canada"/>
    <x v="0"/>
    <n v="37948"/>
    <x v="5"/>
    <s v="Refunded"/>
    <s v="CAD"/>
    <s v="Standard"/>
    <s v="WH-013"/>
    <s v="Cancelled"/>
    <s v="Returned"/>
    <s v="Damaged Product"/>
    <s v="Google Ads"/>
    <s v="Google_Display"/>
    <s v="SAVE19"/>
    <n v="0"/>
    <n v="0"/>
    <x v="8"/>
    <n v="1112.01"/>
    <n v="0"/>
    <n v="144.57"/>
    <n v="33.64"/>
    <n v="1290.22"/>
    <n v="588.30999999999995"/>
    <n v="668.27"/>
    <n v="51.8"/>
    <n v="6362.06"/>
    <b v="1"/>
    <n v="6"/>
  </r>
  <r>
    <s v="ORD-873299"/>
    <x v="16"/>
    <d v="1899-12-30T20:07:34"/>
    <s v="Returned"/>
    <x v="1"/>
    <x v="242"/>
    <s v="Emma Harvey"/>
    <n v="58"/>
    <s v="Male"/>
    <x v="0"/>
    <s v="Loyal"/>
    <x v="240"/>
    <s v="Pennsylvania"/>
    <s v="USA"/>
    <x v="0"/>
    <n v="65013"/>
    <x v="5"/>
    <s v="Refunded"/>
    <s v="USD"/>
    <s v="Standard"/>
    <s v="WH-002"/>
    <s v="Cancelled"/>
    <s v="Returned"/>
    <s v="Late Delivery"/>
    <s v="Google Ads"/>
    <s v="Google_Search_Q1"/>
    <s v="SAVE34"/>
    <n v="0"/>
    <n v="0"/>
    <x v="2"/>
    <n v="1662.17"/>
    <n v="0"/>
    <n v="116.35"/>
    <n v="39.229999999999997"/>
    <n v="1817.75"/>
    <n v="640.51"/>
    <n v="1138.01"/>
    <n v="62.61"/>
    <n v="10718.85"/>
    <b v="1"/>
    <n v="11"/>
  </r>
  <r>
    <s v="ORD-291904"/>
    <x v="202"/>
    <d v="1899-12-30T21:45:07"/>
    <s v="Returned"/>
    <x v="0"/>
    <x v="243"/>
    <s v="Tiffany James"/>
    <n v="70"/>
    <s v="Non-Binary"/>
    <x v="1"/>
    <s v="Loyal"/>
    <x v="241"/>
    <s v="Uttar Pradesh"/>
    <s v="India"/>
    <x v="4"/>
    <n v="9048"/>
    <x v="2"/>
    <s v="Refunded"/>
    <s v="INR"/>
    <s v="Standard"/>
    <s v="WH-006"/>
    <s v="Cancelled"/>
    <s v="Returned"/>
    <s v="Wrong Product"/>
    <s v="Organic Search"/>
    <s v="Default_Campaign"/>
    <s v="SAVE39"/>
    <n v="0"/>
    <n v="0"/>
    <x v="5"/>
    <n v="456.06"/>
    <n v="0"/>
    <n v="82.09"/>
    <n v="2.34"/>
    <n v="540.49"/>
    <n v="178.62"/>
    <n v="359.53"/>
    <n v="66.52"/>
    <n v="6986.66"/>
    <b v="1"/>
    <n v="4"/>
  </r>
  <r>
    <s v="ORD-945755"/>
    <x v="203"/>
    <d v="1899-12-30T17:15:20"/>
    <s v="Returned"/>
    <x v="1"/>
    <x v="244"/>
    <s v="David Matthews"/>
    <n v="62"/>
    <s v="Male"/>
    <x v="0"/>
    <s v="Loyal"/>
    <x v="242"/>
    <s v="Texas"/>
    <s v="USA"/>
    <x v="1"/>
    <n v="92148"/>
    <x v="2"/>
    <s v="Refunded"/>
    <s v="USD"/>
    <s v="Express"/>
    <s v="WH-015"/>
    <s v="Cancelled"/>
    <s v="Returned"/>
    <s v="Defective Product"/>
    <s v="Organic Search"/>
    <s v="Default_Campaign"/>
    <s v="SAVE27"/>
    <n v="0"/>
    <n v="0"/>
    <x v="5"/>
    <n v="200.15"/>
    <n v="0"/>
    <n v="14.01"/>
    <n v="29.76"/>
    <n v="243.92"/>
    <n v="71"/>
    <n v="143.16"/>
    <n v="58.69"/>
    <n v="6465.45"/>
    <b v="1"/>
    <n v="9"/>
  </r>
  <r>
    <s v="ORD-195387"/>
    <x v="204"/>
    <d v="1899-12-30T05:15:23"/>
    <s v="Returned"/>
    <x v="1"/>
    <x v="245"/>
    <s v="Andrea Parker"/>
    <n v="53"/>
    <s v="Female"/>
    <x v="0"/>
    <s v="Loyal"/>
    <x v="243"/>
    <s v="Alberta"/>
    <s v="Canada"/>
    <x v="2"/>
    <n v="8503"/>
    <x v="2"/>
    <s v="Refunded"/>
    <s v="CAD"/>
    <s v="Economy"/>
    <s v="WH-007"/>
    <s v="Cancelled"/>
    <s v="Returned"/>
    <s v="Wrong Product"/>
    <s v="Organic Search"/>
    <s v="Default_Campaign"/>
    <s v="SAVE17"/>
    <n v="0"/>
    <n v="0"/>
    <x v="2"/>
    <n v="2387.9899999999998"/>
    <n v="0"/>
    <n v="310.44"/>
    <n v="25.31"/>
    <n v="2723.74"/>
    <n v="1085.01"/>
    <n v="1613.42"/>
    <n v="59.24"/>
    <n v="12435.19"/>
    <b v="1"/>
    <n v="8"/>
  </r>
  <r>
    <s v="ORD-474460"/>
    <x v="205"/>
    <d v="1899-12-30T20:00:39"/>
    <s v="Returned"/>
    <x v="2"/>
    <x v="246"/>
    <s v="Courtney Cook"/>
    <n v="33"/>
    <s v="Male"/>
    <x v="0"/>
    <s v="Loyal"/>
    <x v="244"/>
    <s v="Ontario"/>
    <s v="Canada"/>
    <x v="0"/>
    <n v="13146"/>
    <x v="4"/>
    <s v="Refunded"/>
    <s v="CAD"/>
    <s v="Express"/>
    <s v="WH-011"/>
    <s v="Cancelled"/>
    <s v="Returned"/>
    <s v="Damaged Product"/>
    <s v="Google Ads"/>
    <s v="Google_Search_Q1"/>
    <s v="SAVE47"/>
    <n v="0"/>
    <n v="0"/>
    <x v="9"/>
    <n v="395.52"/>
    <n v="0"/>
    <n v="51.42"/>
    <n v="34.75"/>
    <n v="481.69"/>
    <n v="181.5"/>
    <n v="265.44"/>
    <n v="55.11"/>
    <n v="4612.34"/>
    <b v="1"/>
    <n v="6"/>
  </r>
  <r>
    <s v="ORD-749459"/>
    <x v="206"/>
    <d v="1899-12-30T11:54:25"/>
    <s v="Returned"/>
    <x v="1"/>
    <x v="247"/>
    <s v="Shane Cooper"/>
    <n v="35"/>
    <s v="Male"/>
    <x v="3"/>
    <s v="Loyal"/>
    <x v="245"/>
    <s v="Lower Saxony"/>
    <s v="Germany"/>
    <x v="4"/>
    <n v="95566"/>
    <x v="3"/>
    <s v="Refunded"/>
    <s v="EUR"/>
    <s v="Standard"/>
    <s v="WH-012"/>
    <s v="Cancelled"/>
    <s v="Returned"/>
    <s v="Other"/>
    <s v="Affiliate"/>
    <s v="Affiliate_Partner"/>
    <s v="SAVE27"/>
    <n v="0"/>
    <n v="0"/>
    <x v="5"/>
    <n v="2087.4"/>
    <n v="0"/>
    <n v="396.61"/>
    <n v="5.48"/>
    <n v="2489.4899999999998"/>
    <n v="1000.35"/>
    <n v="1483.66"/>
    <n v="59.6"/>
    <n v="15843.42"/>
    <b v="1"/>
    <n v="5"/>
  </r>
  <r>
    <s v="ORD-102615"/>
    <x v="207"/>
    <d v="1899-12-30T06:36:51"/>
    <s v="Returned"/>
    <x v="1"/>
    <x v="248"/>
    <s v="Jeffrey Richardson"/>
    <n v="57"/>
    <s v="Female"/>
    <x v="0"/>
    <s v="Loyal"/>
    <x v="246"/>
    <s v="Ohio"/>
    <s v="USA"/>
    <x v="2"/>
    <n v="73425"/>
    <x v="2"/>
    <s v="Refunded"/>
    <s v="USD"/>
    <s v="Economy"/>
    <s v="WH-017"/>
    <s v="Cancelled"/>
    <s v="Returned"/>
    <s v="Other"/>
    <s v="TikTok"/>
    <s v="Default_Campaign"/>
    <s v="SAVE36"/>
    <n v="0"/>
    <n v="0"/>
    <x v="9"/>
    <n v="408.79"/>
    <n v="0"/>
    <n v="28.62"/>
    <n v="9.6999999999999993"/>
    <n v="447.11"/>
    <n v="265.82"/>
    <n v="171.59"/>
    <n v="38.380000000000003"/>
    <n v="5023.67"/>
    <b v="1"/>
    <n v="7"/>
  </r>
  <r>
    <s v="ORD-606612"/>
    <x v="150"/>
    <d v="1899-12-30T02:04:41"/>
    <s v="Returned"/>
    <x v="0"/>
    <x v="249"/>
    <s v="Rachel Spencer"/>
    <n v="47"/>
    <s v="Female"/>
    <x v="0"/>
    <s v="Loyal"/>
    <x v="247"/>
    <s v="Florida"/>
    <s v="USA"/>
    <x v="1"/>
    <n v="65485"/>
    <x v="3"/>
    <s v="Refunded"/>
    <s v="USD"/>
    <s v="Express"/>
    <s v="WH-014"/>
    <s v="Cancelled"/>
    <s v="Returned"/>
    <s v="Late Delivery"/>
    <s v="Affiliate"/>
    <s v="Influencer_Program"/>
    <s v="SAVE26"/>
    <n v="0"/>
    <n v="0"/>
    <x v="6"/>
    <n v="481.93"/>
    <n v="0"/>
    <n v="33.74"/>
    <n v="15.47"/>
    <n v="531.14"/>
    <n v="306.2"/>
    <n v="209.47"/>
    <n v="39.44"/>
    <n v="4086.48"/>
    <b v="1"/>
    <n v="5"/>
  </r>
  <r>
    <s v="ORD-302391"/>
    <x v="208"/>
    <d v="1899-12-30T07:14:33"/>
    <s v="Returned"/>
    <x v="0"/>
    <x v="250"/>
    <s v="Christopher Willis"/>
    <n v="70"/>
    <s v="Female"/>
    <x v="0"/>
    <s v="Loyal"/>
    <x v="248"/>
    <s v="Pennsylvania"/>
    <s v="USA"/>
    <x v="0"/>
    <n v="19525"/>
    <x v="3"/>
    <s v="Refunded"/>
    <s v="USD"/>
    <s v="Standard"/>
    <s v="WH-018"/>
    <s v="Cancelled"/>
    <s v="Returned"/>
    <s v="Damaged Product"/>
    <s v="Organic Search"/>
    <s v="Default_Campaign"/>
    <s v="SAVE17"/>
    <n v="0"/>
    <n v="0"/>
    <x v="7"/>
    <n v="829.03"/>
    <n v="0"/>
    <n v="58.03"/>
    <n v="30.35"/>
    <n v="917.41"/>
    <n v="479.69"/>
    <n v="407.37"/>
    <n v="44.4"/>
    <n v="6590.91"/>
    <b v="1"/>
    <n v="8"/>
  </r>
  <r>
    <s v="ORD-178953"/>
    <x v="209"/>
    <d v="1899-12-30T23:36:44"/>
    <s v="Returned"/>
    <x v="1"/>
    <x v="251"/>
    <s v="Victor Shields"/>
    <n v="45"/>
    <s v="Male"/>
    <x v="1"/>
    <s v="Loyal"/>
    <x v="249"/>
    <s v="Victoria"/>
    <s v="Australia"/>
    <x v="1"/>
    <n v="22367"/>
    <x v="5"/>
    <s v="Refunded"/>
    <s v="AUD"/>
    <s v="Standard"/>
    <s v="WH-012"/>
    <s v="Cancelled"/>
    <s v="Returned"/>
    <s v="Changed Mind"/>
    <s v="Organic Search"/>
    <s v="Default_Campaign"/>
    <s v="SAVE21"/>
    <n v="0"/>
    <n v="0"/>
    <x v="3"/>
    <n v="1107.05"/>
    <n v="0"/>
    <n v="110.71"/>
    <n v="28.44"/>
    <n v="1246.2"/>
    <n v="542.70000000000005"/>
    <n v="675.06"/>
    <n v="54.17"/>
    <n v="10153.17"/>
    <b v="1"/>
    <n v="9"/>
  </r>
  <r>
    <s v="ORD-390525"/>
    <x v="210"/>
    <d v="1899-12-30T21:13:52"/>
    <s v="Returned"/>
    <x v="0"/>
    <x v="252"/>
    <s v="Corey Henry"/>
    <n v="73"/>
    <s v="Female"/>
    <x v="0"/>
    <s v="Loyal"/>
    <x v="250"/>
    <s v="New York"/>
    <s v="USA"/>
    <x v="0"/>
    <n v="59167"/>
    <x v="3"/>
    <s v="Refunded"/>
    <s v="USD"/>
    <s v="Economy"/>
    <s v="WH-007"/>
    <s v="Cancelled"/>
    <s v="Returned"/>
    <s v="Product Not as Expected"/>
    <s v="Organic Search"/>
    <s v="Default_Campaign"/>
    <s v="SAVE40"/>
    <n v="0"/>
    <n v="0"/>
    <x v="6"/>
    <n v="93.35"/>
    <n v="0"/>
    <n v="6.53"/>
    <n v="3.94"/>
    <n v="103.82"/>
    <n v="29.57"/>
    <n v="70.31"/>
    <n v="67.72"/>
    <n v="13672.64"/>
    <b v="1"/>
    <n v="11"/>
  </r>
  <r>
    <s v="ORD-647963"/>
    <x v="211"/>
    <d v="1899-12-30T08:29:49"/>
    <s v="Returned"/>
    <x v="2"/>
    <x v="253"/>
    <s v="Shawn Bishop"/>
    <n v="25"/>
    <s v="Female"/>
    <x v="0"/>
    <s v="Returning"/>
    <x v="251"/>
    <s v="New York"/>
    <s v="USA"/>
    <x v="0"/>
    <n v="62390"/>
    <x v="3"/>
    <s v="Refunded"/>
    <s v="USD"/>
    <s v="Standard"/>
    <s v="WH-007"/>
    <s v="Cancelled"/>
    <s v="Returned"/>
    <s v="Product Not as Expected"/>
    <s v="Email Marketing"/>
    <s v="Weekly_Newsletter"/>
    <s v="SAVE23"/>
    <n v="0"/>
    <n v="0"/>
    <x v="5"/>
    <n v="505.36"/>
    <n v="0"/>
    <n v="35.380000000000003"/>
    <n v="12.02"/>
    <n v="552.76"/>
    <n v="192.57"/>
    <n v="348.17"/>
    <n v="62.99"/>
    <n v="1977.88"/>
    <b v="1"/>
    <n v="3"/>
  </r>
  <r>
    <s v="ORD-682940"/>
    <x v="212"/>
    <d v="1899-12-30T03:29:54"/>
    <s v="Returned"/>
    <x v="0"/>
    <x v="254"/>
    <s v="Kelsey Cook"/>
    <n v="18"/>
    <s v="Male"/>
    <x v="2"/>
    <s v="Loyal"/>
    <x v="252"/>
    <s v="Ohio"/>
    <s v="USA"/>
    <x v="2"/>
    <n v="54457"/>
    <x v="3"/>
    <s v="Refunded"/>
    <s v="USD"/>
    <s v="Economy"/>
    <s v="WH-002"/>
    <s v="Cancelled"/>
    <s v="Returned"/>
    <s v="Size Issue"/>
    <s v="Organic Search"/>
    <s v="Default_Campaign"/>
    <s v="SAVE43"/>
    <n v="0"/>
    <n v="0"/>
    <x v="0"/>
    <n v="1216.6600000000001"/>
    <n v="0"/>
    <n v="85.16"/>
    <n v="12.68"/>
    <n v="1314.5"/>
    <n v="532.07000000000005"/>
    <n v="769.75"/>
    <n v="58.56"/>
    <n v="7797.79"/>
    <b v="1"/>
    <n v="8"/>
  </r>
  <r>
    <s v="ORD-799099"/>
    <x v="213"/>
    <d v="1899-12-30T15:58:31"/>
    <s v="Returned"/>
    <x v="1"/>
    <x v="255"/>
    <s v="Timothy Allen"/>
    <n v="42"/>
    <s v="Female"/>
    <x v="0"/>
    <s v="Loyal"/>
    <x v="253"/>
    <s v="North Carolina"/>
    <s v="USA"/>
    <x v="1"/>
    <n v="90614"/>
    <x v="3"/>
    <s v="Refunded"/>
    <s v="USD"/>
    <s v="Economy"/>
    <s v="WH-017"/>
    <s v="Cancelled"/>
    <s v="Returned"/>
    <s v="Defective Product"/>
    <s v="Google Ads"/>
    <s v="Google_Display"/>
    <s v="SAVE27"/>
    <n v="0"/>
    <n v="0"/>
    <x v="2"/>
    <n v="3195.26"/>
    <n v="0"/>
    <n v="223.66"/>
    <n v="19.63"/>
    <n v="3438.55"/>
    <n v="1644.22"/>
    <n v="1774.7"/>
    <n v="51.61"/>
    <n v="6347"/>
    <b v="1"/>
    <n v="4"/>
  </r>
  <r>
    <s v="ORD-904951"/>
    <x v="176"/>
    <d v="1899-12-30T12:36:14"/>
    <s v="Returned"/>
    <x v="0"/>
    <x v="256"/>
    <s v="Pamela Moore"/>
    <n v="52"/>
    <s v="Female"/>
    <x v="0"/>
    <s v="Loyal"/>
    <x v="254"/>
    <s v="Karnataka"/>
    <s v="India"/>
    <x v="1"/>
    <n v="56990"/>
    <x v="5"/>
    <s v="Refunded"/>
    <s v="INR"/>
    <s v="Standard"/>
    <s v="WH-016"/>
    <s v="Cancelled"/>
    <s v="Returned"/>
    <s v="Other"/>
    <s v="Direct"/>
    <s v="Default_Campaign"/>
    <s v="SAVE14"/>
    <n v="0"/>
    <n v="0"/>
    <x v="5"/>
    <n v="965.34"/>
    <n v="0"/>
    <n v="173.76"/>
    <n v="3.81"/>
    <n v="1142.9100000000001"/>
    <n v="553.65"/>
    <n v="585.45000000000005"/>
    <n v="51.22"/>
    <n v="11749.77"/>
    <b v="1"/>
    <n v="8"/>
  </r>
  <r>
    <s v="ORD-631936"/>
    <x v="202"/>
    <d v="1899-12-30T16:45:28"/>
    <s v="Returned"/>
    <x v="1"/>
    <x v="257"/>
    <s v="Misty Tate"/>
    <n v="22"/>
    <s v="Female"/>
    <x v="0"/>
    <s v="Loyal"/>
    <x v="255"/>
    <s v="Illinois"/>
    <s v="USA"/>
    <x v="2"/>
    <n v="2003"/>
    <x v="4"/>
    <s v="Refunded"/>
    <s v="USD"/>
    <s v="Same Day"/>
    <s v="WH-014"/>
    <s v="Cancelled"/>
    <s v="Returned"/>
    <s v="Product Not as Expected"/>
    <s v="Organic Search"/>
    <s v="Default_Campaign"/>
    <s v="SAVE16"/>
    <n v="0"/>
    <n v="0"/>
    <x v="9"/>
    <n v="215.9"/>
    <n v="0"/>
    <n v="15.11"/>
    <n v="24.11"/>
    <n v="255.12"/>
    <n v="111.66"/>
    <n v="119.35"/>
    <n v="46.78"/>
    <n v="8714.93"/>
    <b v="1"/>
    <n v="8"/>
  </r>
  <r>
    <s v="ORD-351864"/>
    <x v="214"/>
    <d v="1899-12-30T06:55:34"/>
    <s v="Returned"/>
    <x v="3"/>
    <x v="258"/>
    <s v="April Rodriguez"/>
    <n v="73"/>
    <s v="Male"/>
    <x v="1"/>
    <s v="Returning"/>
    <x v="256"/>
    <s v="California"/>
    <s v="USA"/>
    <x v="3"/>
    <n v="14771"/>
    <x v="3"/>
    <s v="Refunded"/>
    <s v="USD"/>
    <s v="Express"/>
    <s v="WH-019"/>
    <s v="Cancelled"/>
    <s v="Returned"/>
    <s v="Product Not as Expected"/>
    <s v="Google Ads"/>
    <s v="Google_Search_Q1"/>
    <s v="SAVE47"/>
    <n v="0"/>
    <n v="0"/>
    <x v="1"/>
    <n v="1009.89"/>
    <n v="0"/>
    <n v="70.7"/>
    <n v="37.26"/>
    <n v="1117.8499999999999"/>
    <n v="502.63"/>
    <n v="577.96"/>
    <n v="51.7"/>
    <n v="2106.19"/>
    <b v="1"/>
    <n v="3"/>
  </r>
  <r>
    <s v="ORD-833983"/>
    <x v="38"/>
    <d v="1899-12-30T11:09:50"/>
    <s v="Returned"/>
    <x v="2"/>
    <x v="259"/>
    <s v="Kevin Lang"/>
    <n v="40"/>
    <s v="Female"/>
    <x v="0"/>
    <s v="Loyal"/>
    <x v="257"/>
    <s v="Ohio"/>
    <s v="USA"/>
    <x v="2"/>
    <n v="16025"/>
    <x v="4"/>
    <s v="Refunded"/>
    <s v="USD"/>
    <s v="Express"/>
    <s v="WH-007"/>
    <s v="Cancelled"/>
    <s v="Returned"/>
    <s v="Changed Mind"/>
    <s v="Organic Search"/>
    <s v="Default_Campaign"/>
    <s v="SAVE47"/>
    <n v="0"/>
    <n v="0"/>
    <x v="4"/>
    <n v="3444.78"/>
    <n v="0"/>
    <n v="241.13"/>
    <n v="20.9"/>
    <n v="3706.81"/>
    <n v="1788.18"/>
    <n v="1897.73"/>
    <n v="51.2"/>
    <n v="6885.73"/>
    <b v="1"/>
    <n v="6"/>
  </r>
  <r>
    <s v="ORD-511175"/>
    <x v="215"/>
    <d v="1899-12-30T13:11:08"/>
    <s v="Returned"/>
    <x v="0"/>
    <x v="260"/>
    <s v="Kyle Bernard"/>
    <n v="44"/>
    <s v="Non-Binary"/>
    <x v="2"/>
    <s v="Returning"/>
    <x v="258"/>
    <s v="Michigan"/>
    <s v="USA"/>
    <x v="2"/>
    <n v="18844"/>
    <x v="0"/>
    <s v="Refunded"/>
    <s v="USD"/>
    <s v="Express"/>
    <s v="WH-018"/>
    <s v="Cancelled"/>
    <s v="Returned"/>
    <s v="Size Issue"/>
    <s v="Facebook Ads"/>
    <s v="FB_Retargeting"/>
    <s v="SAVE46"/>
    <n v="0"/>
    <n v="0"/>
    <x v="4"/>
    <n v="910.08"/>
    <n v="0"/>
    <n v="63.71"/>
    <n v="45.65"/>
    <n v="1019.44"/>
    <n v="455.59"/>
    <n v="518.20000000000005"/>
    <n v="50.83"/>
    <n v="2252.15"/>
    <b v="1"/>
    <n v="3"/>
  </r>
  <r>
    <s v="ORD-886109"/>
    <x v="216"/>
    <d v="1899-12-30T18:59:39"/>
    <s v="Returned"/>
    <x v="1"/>
    <x v="261"/>
    <s v="Thomas Huang"/>
    <n v="31"/>
    <s v="Female"/>
    <x v="0"/>
    <s v="Loyal"/>
    <x v="259"/>
    <s v="Abu Dhabi"/>
    <s v="UAE"/>
    <x v="1"/>
    <n v="26926"/>
    <x v="1"/>
    <s v="Refunded"/>
    <s v="AED"/>
    <s v="Standard"/>
    <s v="WH-018"/>
    <s v="Cancelled"/>
    <s v="Returned"/>
    <s v="Product Not as Expected"/>
    <s v="Direct"/>
    <s v="Default_Campaign"/>
    <s v="SAVE26"/>
    <n v="0"/>
    <n v="0"/>
    <x v="4"/>
    <n v="751.45"/>
    <n v="0"/>
    <n v="37.57"/>
    <n v="35.630000000000003"/>
    <n v="824.65"/>
    <n v="422.16"/>
    <n v="366.86"/>
    <n v="44.49"/>
    <n v="17507.669999999998"/>
    <b v="1"/>
    <n v="11"/>
  </r>
  <r>
    <s v="ORD-961687"/>
    <x v="217"/>
    <d v="1899-12-30T20:01:57"/>
    <s v="Returned"/>
    <x v="0"/>
    <x v="262"/>
    <s v="Julie Booker"/>
    <n v="73"/>
    <s v="Male"/>
    <x v="0"/>
    <s v="Loyal"/>
    <x v="260"/>
    <s v="New York"/>
    <s v="USA"/>
    <x v="0"/>
    <n v="6090"/>
    <x v="4"/>
    <s v="Refunded"/>
    <s v="USD"/>
    <s v="Standard"/>
    <s v="WH-010"/>
    <s v="Cancelled"/>
    <s v="Returned"/>
    <s v="Wrong Product"/>
    <s v="Email Marketing"/>
    <s v="Abandoned_Cart"/>
    <s v="SAVE20"/>
    <n v="0"/>
    <n v="0"/>
    <x v="5"/>
    <n v="257.10000000000002"/>
    <n v="0"/>
    <n v="18"/>
    <n v="9.4600000000000009"/>
    <n v="284.56"/>
    <n v="121.35"/>
    <n v="153.75"/>
    <n v="54.03"/>
    <n v="3268.04"/>
    <b v="1"/>
    <n v="7"/>
  </r>
  <r>
    <s v="ORD-588777"/>
    <x v="74"/>
    <d v="1899-12-30T21:13:42"/>
    <s v="Returned"/>
    <x v="3"/>
    <x v="263"/>
    <s v="Brittany Ramirez"/>
    <n v="50"/>
    <s v="Female"/>
    <x v="2"/>
    <s v="Loyal"/>
    <x v="261"/>
    <s v="Scotland"/>
    <s v="UK"/>
    <x v="4"/>
    <n v="34668"/>
    <x v="4"/>
    <s v="Refunded"/>
    <s v="GBP"/>
    <s v="Standard"/>
    <s v="WH-002"/>
    <s v="Cancelled"/>
    <s v="Returned"/>
    <s v="Size Issue"/>
    <s v="Facebook Ads"/>
    <s v="FB_Dynamic"/>
    <s v="SAVE46"/>
    <n v="0"/>
    <n v="0"/>
    <x v="9"/>
    <n v="739"/>
    <n v="0"/>
    <n v="147.80000000000001"/>
    <n v="1.96"/>
    <n v="888.76"/>
    <n v="366.54"/>
    <n v="520.26"/>
    <n v="58.54"/>
    <n v="5882.25"/>
    <b v="1"/>
    <n v="4"/>
  </r>
  <r>
    <s v="ORD-298192"/>
    <x v="218"/>
    <d v="1899-12-30T06:24:54"/>
    <s v="Returned"/>
    <x v="0"/>
    <x v="264"/>
    <s v="Adrian Perez"/>
    <n v="34"/>
    <s v="Male"/>
    <x v="0"/>
    <s v="Loyal"/>
    <x v="262"/>
    <s v="England"/>
    <s v="UK"/>
    <x v="4"/>
    <n v="64466"/>
    <x v="5"/>
    <s v="Refunded"/>
    <s v="GBP"/>
    <s v="Standard"/>
    <s v="WH-014"/>
    <s v="Cancelled"/>
    <s v="Returned"/>
    <s v="Product Not as Expected"/>
    <s v="Instagram"/>
    <s v="Insta_Reels"/>
    <s v="SAVE44"/>
    <n v="0"/>
    <n v="0"/>
    <x v="9"/>
    <n v="334.97"/>
    <n v="0"/>
    <n v="67"/>
    <n v="8.0399999999999991"/>
    <n v="410.01"/>
    <n v="162.97"/>
    <n v="239"/>
    <n v="58.29"/>
    <n v="3983.78"/>
    <b v="1"/>
    <n v="7"/>
  </r>
  <r>
    <s v="ORD-390013"/>
    <x v="219"/>
    <d v="1899-12-30T05:13:04"/>
    <s v="Returned"/>
    <x v="0"/>
    <x v="265"/>
    <s v="Yolanda Winters"/>
    <n v="50"/>
    <s v="Female"/>
    <x v="0"/>
    <s v="Loyal"/>
    <x v="263"/>
    <s v="Pennsylvania"/>
    <s v="USA"/>
    <x v="0"/>
    <n v="33962"/>
    <x v="1"/>
    <s v="Refunded"/>
    <s v="USD"/>
    <s v="Economy"/>
    <s v="WH-013"/>
    <s v="Cancelled"/>
    <s v="Returned"/>
    <s v="Defective Product"/>
    <s v="Facebook Ads"/>
    <s v="FB_Prospecting"/>
    <s v="SAVE18"/>
    <n v="0"/>
    <n v="0"/>
    <x v="10"/>
    <n v="1450.64"/>
    <n v="0"/>
    <n v="101.55"/>
    <n v="42.8"/>
    <n v="1594.99"/>
    <n v="623.91"/>
    <n v="928.28"/>
    <n v="58.2"/>
    <n v="2754.52"/>
    <b v="1"/>
    <n v="4"/>
  </r>
  <r>
    <s v="ORD-303993"/>
    <x v="220"/>
    <d v="1899-12-30T14:09:28"/>
    <s v="Returned"/>
    <x v="0"/>
    <x v="266"/>
    <s v="Elijah Johnson"/>
    <n v="29"/>
    <s v="Female"/>
    <x v="0"/>
    <s v="Loyal"/>
    <x v="264"/>
    <s v="New South Wales"/>
    <s v="Australia"/>
    <x v="0"/>
    <n v="26243"/>
    <x v="3"/>
    <s v="Refunded"/>
    <s v="AUD"/>
    <s v="Economy"/>
    <s v="WH-010"/>
    <s v="Cancelled"/>
    <s v="Returned"/>
    <s v="Wrong Product"/>
    <s v="Facebook Ads"/>
    <s v="FB_Prospecting"/>
    <s v="SAVE26"/>
    <n v="0"/>
    <n v="0"/>
    <x v="1"/>
    <n v="952.06"/>
    <n v="0"/>
    <n v="95.21"/>
    <n v="64.27"/>
    <n v="1111.54"/>
    <n v="448.86"/>
    <n v="598.41"/>
    <n v="53.84"/>
    <n v="8930.68"/>
    <b v="1"/>
    <n v="8"/>
  </r>
  <r>
    <s v="ORD-753882"/>
    <x v="221"/>
    <d v="1899-12-30T08:25:29"/>
    <s v="Returned"/>
    <x v="0"/>
    <x v="267"/>
    <s v="Kendra Schneider"/>
    <n v="26"/>
    <s v="Female"/>
    <x v="0"/>
    <s v="Loyal"/>
    <x v="265"/>
    <s v="Ohio"/>
    <s v="USA"/>
    <x v="2"/>
    <n v="66648"/>
    <x v="5"/>
    <s v="Refunded"/>
    <s v="USD"/>
    <s v="Economy"/>
    <s v="WH-002"/>
    <s v="Cancelled"/>
    <s v="Returned"/>
    <s v="Product Not as Expected"/>
    <s v="Direct"/>
    <s v="Default_Campaign"/>
    <s v="SAVE41"/>
    <n v="0"/>
    <n v="0"/>
    <x v="11"/>
    <n v="4005.61"/>
    <n v="0"/>
    <n v="280.39"/>
    <n v="37.68"/>
    <n v="4323.68"/>
    <n v="2184.5500000000002"/>
    <n v="2101.4499999999998"/>
    <n v="48.6"/>
    <n v="8139.05"/>
    <b v="1"/>
    <n v="6"/>
  </r>
  <r>
    <s v="ORD-637704"/>
    <x v="222"/>
    <d v="1899-12-30T10:56:11"/>
    <s v="Returned"/>
    <x v="1"/>
    <x v="268"/>
    <s v="Ashlee Rogers"/>
    <n v="27"/>
    <s v="Male"/>
    <x v="2"/>
    <s v="Loyal"/>
    <x v="266"/>
    <s v="Lower Saxony"/>
    <s v="Germany"/>
    <x v="4"/>
    <n v="14243"/>
    <x v="4"/>
    <s v="Refunded"/>
    <s v="EUR"/>
    <s v="Economy"/>
    <s v="WH-017"/>
    <s v="Cancelled"/>
    <s v="Returned"/>
    <s v="Wrong Product"/>
    <s v="Google Ads"/>
    <s v="Google_Search_Q1"/>
    <s v="SAVE10"/>
    <n v="0"/>
    <n v="0"/>
    <x v="0"/>
    <n v="513.6"/>
    <n v="0"/>
    <n v="97.58"/>
    <n v="0.38"/>
    <n v="611.55999999999995"/>
    <n v="302.2"/>
    <n v="308.98"/>
    <n v="50.52"/>
    <n v="12605.59"/>
    <b v="1"/>
    <n v="9"/>
  </r>
  <r>
    <s v="ORD-618876"/>
    <x v="223"/>
    <d v="1899-12-30T07:41:06"/>
    <s v="Returned"/>
    <x v="0"/>
    <x v="269"/>
    <s v="Jeffery Robbins"/>
    <n v="72"/>
    <s v="Female"/>
    <x v="0"/>
    <s v="Loyal"/>
    <x v="267"/>
    <s v="Michigan"/>
    <s v="USA"/>
    <x v="2"/>
    <n v="66480"/>
    <x v="3"/>
    <s v="Refunded"/>
    <s v="USD"/>
    <s v="Standard"/>
    <s v="WH-015"/>
    <s v="Cancelled"/>
    <s v="Returned"/>
    <s v="Late Delivery"/>
    <s v="Direct"/>
    <s v="Default_Campaign"/>
    <s v="SAVE36"/>
    <n v="0"/>
    <n v="0"/>
    <x v="1"/>
    <n v="2649.2"/>
    <n v="0"/>
    <n v="185.44"/>
    <n v="75.12"/>
    <n v="2909.76"/>
    <n v="1355.6"/>
    <n v="1479.04"/>
    <n v="50.83"/>
    <n v="6301.48"/>
    <b v="1"/>
    <n v="4"/>
  </r>
  <r>
    <s v="ORD-873049"/>
    <x v="224"/>
    <d v="1899-12-30T08:58:08"/>
    <s v="Returned"/>
    <x v="1"/>
    <x v="270"/>
    <s v="Jackie Meza"/>
    <n v="48"/>
    <s v="Female"/>
    <x v="2"/>
    <s v="Loyal"/>
    <x v="268"/>
    <s v="Pennsylvania"/>
    <s v="USA"/>
    <x v="0"/>
    <n v="65018"/>
    <x v="5"/>
    <s v="Refunded"/>
    <s v="USD"/>
    <s v="Standard"/>
    <s v="WH-016"/>
    <s v="Cancelled"/>
    <s v="Returned"/>
    <s v="Wrong Product"/>
    <s v="Google Ads"/>
    <s v="Google_Display"/>
    <s v="SAVE48"/>
    <n v="0"/>
    <n v="0"/>
    <x v="1"/>
    <n v="2645.3"/>
    <n v="0"/>
    <n v="185.17"/>
    <n v="11.88"/>
    <n v="2842.35"/>
    <n v="1339.45"/>
    <n v="1491.02"/>
    <n v="52.46"/>
    <n v="11261.04"/>
    <b v="1"/>
    <n v="9"/>
  </r>
  <r>
    <s v="ORD-173863"/>
    <x v="225"/>
    <d v="1899-12-30T06:25:08"/>
    <s v="Returned"/>
    <x v="0"/>
    <x v="271"/>
    <s v="Robert Stewart"/>
    <n v="22"/>
    <s v="Female"/>
    <x v="0"/>
    <s v="Loyal"/>
    <x v="269"/>
    <s v="Pennsylvania"/>
    <s v="USA"/>
    <x v="0"/>
    <n v="52445"/>
    <x v="6"/>
    <s v="Refunded"/>
    <s v="USD"/>
    <s v="Standard"/>
    <s v="WH-019"/>
    <s v="Cancelled"/>
    <s v="Returned"/>
    <s v="Wrong Product"/>
    <s v="Organic Search"/>
    <s v="Default_Campaign"/>
    <s v="SAVE26"/>
    <n v="0"/>
    <n v="0"/>
    <x v="7"/>
    <n v="1511.58"/>
    <n v="0"/>
    <n v="105.81"/>
    <n v="9.64"/>
    <n v="1627.03"/>
    <n v="683.7"/>
    <n v="933.69"/>
    <n v="57.39"/>
    <n v="4371.71"/>
    <b v="1"/>
    <n v="5"/>
  </r>
  <r>
    <s v="ORD-679637"/>
    <x v="226"/>
    <d v="1899-12-30T05:22:36"/>
    <s v="Returned"/>
    <x v="1"/>
    <x v="272"/>
    <s v="Ashley Marquez"/>
    <n v="66"/>
    <s v="Male"/>
    <x v="0"/>
    <s v="Loyal"/>
    <x v="270"/>
    <s v="Scotland"/>
    <s v="UK"/>
    <x v="4"/>
    <n v="24114"/>
    <x v="6"/>
    <s v="Refunded"/>
    <s v="GBP"/>
    <s v="Standard"/>
    <s v="WH-015"/>
    <s v="Cancelled"/>
    <s v="Returned"/>
    <s v="Late Delivery"/>
    <s v="Referral"/>
    <s v="Referral_Program"/>
    <s v="SAVE21"/>
    <n v="0"/>
    <n v="0"/>
    <x v="7"/>
    <n v="206.6"/>
    <n v="0"/>
    <n v="41.32"/>
    <n v="4.54"/>
    <n v="252.46"/>
    <n v="99.52"/>
    <n v="148.4"/>
    <n v="58.78"/>
    <n v="6727.08"/>
    <b v="1"/>
    <n v="6"/>
  </r>
  <r>
    <s v="ORD-411929"/>
    <x v="227"/>
    <d v="1899-12-30T22:39:53"/>
    <s v="Returned"/>
    <x v="1"/>
    <x v="273"/>
    <s v="Kathleen Sanders"/>
    <n v="54"/>
    <s v="Female"/>
    <x v="1"/>
    <s v="Loyal"/>
    <x v="271"/>
    <s v="California"/>
    <s v="USA"/>
    <x v="3"/>
    <n v="78766"/>
    <x v="2"/>
    <s v="Refunded"/>
    <s v="USD"/>
    <s v="Standard"/>
    <s v="WH-017"/>
    <s v="Cancelled"/>
    <s v="Returned"/>
    <s v="Defective Product"/>
    <s v="Organic Search"/>
    <s v="Default_Campaign"/>
    <s v="SAVE13"/>
    <n v="0"/>
    <n v="0"/>
    <x v="0"/>
    <n v="1575.5"/>
    <n v="0"/>
    <n v="110.28"/>
    <n v="26.44"/>
    <n v="1712.22"/>
    <n v="760.47"/>
    <n v="925.31"/>
    <n v="54.04"/>
    <n v="11235.58"/>
    <b v="1"/>
    <n v="6"/>
  </r>
  <r>
    <s v="ORD-248662"/>
    <x v="228"/>
    <d v="1899-12-30T03:27:29"/>
    <s v="Returned"/>
    <x v="0"/>
    <x v="274"/>
    <s v="Rebecca Sanchez"/>
    <n v="50"/>
    <s v="Female"/>
    <x v="0"/>
    <s v="Loyal"/>
    <x v="272"/>
    <s v="Illinois"/>
    <s v="USA"/>
    <x v="2"/>
    <n v="43387"/>
    <x v="2"/>
    <s v="Refunded"/>
    <s v="USD"/>
    <s v="Standard"/>
    <s v="WH-001"/>
    <s v="Cancelled"/>
    <s v="Returned"/>
    <s v="Wrong Product"/>
    <s v="Instagram"/>
    <s v="Insta_Stories"/>
    <s v="SAVE48"/>
    <n v="0"/>
    <n v="0"/>
    <x v="7"/>
    <n v="376.63"/>
    <n v="0"/>
    <n v="26.37"/>
    <n v="16.2"/>
    <n v="419.2"/>
    <n v="167.13"/>
    <n v="235.87"/>
    <n v="56.27"/>
    <n v="12053.37"/>
    <b v="1"/>
    <n v="8"/>
  </r>
  <r>
    <s v="ORD-974172"/>
    <x v="229"/>
    <d v="1899-12-30T03:43:02"/>
    <s v="Returned"/>
    <x v="2"/>
    <x v="275"/>
    <s v="Donna Rojas"/>
    <n v="31"/>
    <s v="Female"/>
    <x v="2"/>
    <s v="Loyal"/>
    <x v="273"/>
    <s v="Queensland"/>
    <s v="Australia"/>
    <x v="4"/>
    <n v="846"/>
    <x v="3"/>
    <s v="Refunded"/>
    <s v="AUD"/>
    <s v="Same Day"/>
    <s v="WH-013"/>
    <s v="Cancelled"/>
    <s v="Returned"/>
    <s v="Defective Product"/>
    <s v="Organic Search"/>
    <s v="Default_Campaign"/>
    <s v="SAVE42"/>
    <n v="0"/>
    <n v="0"/>
    <x v="9"/>
    <n v="326.73"/>
    <n v="0"/>
    <n v="32.68"/>
    <n v="51.77"/>
    <n v="411.18"/>
    <n v="176.56"/>
    <n v="182.85"/>
    <n v="44.47"/>
    <n v="5908.88"/>
    <b v="1"/>
    <n v="8"/>
  </r>
  <r>
    <s v="ORD-963321"/>
    <x v="8"/>
    <d v="1899-12-30T05:42:13"/>
    <s v="Returned"/>
    <x v="3"/>
    <x v="276"/>
    <s v="Joseph Davila"/>
    <n v="54"/>
    <s v="Male"/>
    <x v="2"/>
    <s v="Loyal"/>
    <x v="274"/>
    <s v="Northern Ireland"/>
    <s v="UK"/>
    <x v="3"/>
    <n v="6488"/>
    <x v="5"/>
    <s v="Refunded"/>
    <s v="GBP"/>
    <s v="Standard"/>
    <s v="WH-007"/>
    <s v="Cancelled"/>
    <s v="Returned"/>
    <s v="Other"/>
    <s v="Direct"/>
    <s v="Default_Campaign"/>
    <s v="SAVE43"/>
    <n v="0"/>
    <n v="0"/>
    <x v="0"/>
    <n v="1458.74"/>
    <n v="0"/>
    <n v="291.75"/>
    <n v="20.9"/>
    <n v="1771.39"/>
    <n v="759.9"/>
    <n v="990.59"/>
    <n v="55.92"/>
    <n v="19924.28"/>
    <b v="1"/>
    <n v="11"/>
  </r>
  <r>
    <s v="ORD-118846"/>
    <x v="23"/>
    <d v="1899-12-30T09:34:06"/>
    <s v="Returned"/>
    <x v="2"/>
    <x v="277"/>
    <s v="Kiara Salinas"/>
    <n v="29"/>
    <s v="Female"/>
    <x v="1"/>
    <s v="Loyal"/>
    <x v="275"/>
    <s v="Pennsylvania"/>
    <s v="USA"/>
    <x v="0"/>
    <n v="73454"/>
    <x v="1"/>
    <s v="Refunded"/>
    <s v="USD"/>
    <s v="Economy"/>
    <s v="WH-014"/>
    <s v="Cancelled"/>
    <s v="Returned"/>
    <s v="Wrong Product"/>
    <s v="Facebook Ads"/>
    <s v="FB_Dynamic"/>
    <s v="SAVE23"/>
    <n v="0"/>
    <n v="0"/>
    <x v="10"/>
    <n v="1506.7"/>
    <n v="0"/>
    <n v="105.48"/>
    <n v="28.25"/>
    <n v="1640.43"/>
    <n v="697.87"/>
    <n v="914.31"/>
    <n v="55.74"/>
    <n v="8511.76"/>
    <b v="1"/>
    <n v="6"/>
  </r>
  <r>
    <s v="ORD-310687"/>
    <x v="230"/>
    <d v="1899-12-30T13:18:01"/>
    <s v="Returned"/>
    <x v="0"/>
    <x v="278"/>
    <s v="Laura Hernandez"/>
    <n v="18"/>
    <s v="Female"/>
    <x v="0"/>
    <s v="Loyal"/>
    <x v="276"/>
    <s v="Illinois"/>
    <s v="USA"/>
    <x v="2"/>
    <n v="38131"/>
    <x v="5"/>
    <s v="Refunded"/>
    <s v="USD"/>
    <s v="Express"/>
    <s v="WH-008"/>
    <s v="Cancelled"/>
    <s v="Returned"/>
    <s v="Size Issue"/>
    <s v="Organic Search"/>
    <s v="Default_Campaign"/>
    <s v="SAVE30"/>
    <n v="0"/>
    <n v="0"/>
    <x v="0"/>
    <n v="303.2"/>
    <n v="0"/>
    <n v="21.22"/>
    <n v="15.41"/>
    <n v="339.83"/>
    <n v="146.05000000000001"/>
    <n v="178.37"/>
    <n v="52.49"/>
    <n v="6809.76"/>
    <b v="1"/>
    <n v="6"/>
  </r>
  <r>
    <s v="ORD-320872"/>
    <x v="170"/>
    <d v="1899-12-30T23:40:11"/>
    <s v="Returned"/>
    <x v="1"/>
    <x v="279"/>
    <s v="Michael Nichols"/>
    <n v="56"/>
    <s v="Female"/>
    <x v="3"/>
    <s v="Returning"/>
    <x v="277"/>
    <s v="North Carolina"/>
    <s v="USA"/>
    <x v="1"/>
    <n v="748"/>
    <x v="5"/>
    <s v="Refunded"/>
    <s v="USD"/>
    <s v="Economy"/>
    <s v="WH-018"/>
    <s v="Cancelled"/>
    <s v="Returned"/>
    <s v="Late Delivery"/>
    <s v="Instagram"/>
    <s v="Insta_Stories"/>
    <s v="SAVE14"/>
    <n v="0"/>
    <n v="0"/>
    <x v="8"/>
    <n v="2014.81"/>
    <n v="0"/>
    <n v="141.04"/>
    <n v="25.6"/>
    <n v="2181.4499999999998"/>
    <n v="936.59"/>
    <n v="1219.26"/>
    <n v="55.89"/>
    <n v="11744.43"/>
    <b v="1"/>
    <n v="3"/>
  </r>
  <r>
    <s v="ORD-304501"/>
    <x v="231"/>
    <d v="1899-12-30T02:10:12"/>
    <s v="Returned"/>
    <x v="0"/>
    <x v="280"/>
    <s v="Eric Rodriguez"/>
    <n v="70"/>
    <s v="Male"/>
    <x v="0"/>
    <s v="Loyal"/>
    <x v="278"/>
    <s v="South Australia"/>
    <s v="Australia"/>
    <x v="1"/>
    <n v="51487"/>
    <x v="5"/>
    <s v="Refunded"/>
    <s v="AUD"/>
    <s v="Standard"/>
    <s v="WH-003"/>
    <s v="Cancelled"/>
    <s v="Returned"/>
    <s v="Changed Mind"/>
    <s v="YouTube"/>
    <s v="Default_Campaign"/>
    <s v="SAVE37"/>
    <n v="0"/>
    <n v="0"/>
    <x v="2"/>
    <n v="587.29"/>
    <n v="0"/>
    <n v="58.72"/>
    <n v="46.89"/>
    <n v="692.9"/>
    <n v="246.07"/>
    <n v="399.94"/>
    <n v="57.72"/>
    <n v="2429.87"/>
    <b v="1"/>
    <n v="4"/>
  </r>
  <r>
    <s v="ORD-433216"/>
    <x v="232"/>
    <d v="1899-12-30T07:04:17"/>
    <s v="Returned"/>
    <x v="3"/>
    <x v="281"/>
    <s v="Kyle Jordan"/>
    <n v="47"/>
    <s v="Female"/>
    <x v="0"/>
    <s v="Loyal"/>
    <x v="279"/>
    <s v="Florida"/>
    <s v="USA"/>
    <x v="1"/>
    <n v="14089"/>
    <x v="5"/>
    <s v="Refunded"/>
    <s v="USD"/>
    <s v="Standard"/>
    <s v="WH-008"/>
    <s v="Cancelled"/>
    <s v="Returned"/>
    <s v="Wrong Product"/>
    <s v="Organic Search"/>
    <s v="Default_Campaign"/>
    <s v="SAVE35"/>
    <n v="0"/>
    <n v="0"/>
    <x v="2"/>
    <n v="3973.21"/>
    <n v="0"/>
    <n v="278.13"/>
    <n v="54.42"/>
    <n v="4305.76"/>
    <n v="2037.82"/>
    <n v="2213.52"/>
    <n v="51.41"/>
    <n v="10705.96"/>
    <b v="1"/>
    <n v="8"/>
  </r>
  <r>
    <s v="ORD-317907"/>
    <x v="178"/>
    <d v="1899-12-30T18:17:20"/>
    <s v="Returned"/>
    <x v="1"/>
    <x v="282"/>
    <s v="Brenda Perez"/>
    <n v="60"/>
    <s v="Female"/>
    <x v="0"/>
    <s v="Loyal"/>
    <x v="280"/>
    <s v="Quebec"/>
    <s v="Canada"/>
    <x v="0"/>
    <n v="73885"/>
    <x v="6"/>
    <s v="Refunded"/>
    <s v="CAD"/>
    <s v="Economy"/>
    <s v="WH-006"/>
    <s v="Cancelled"/>
    <s v="Returned"/>
    <s v="Late Delivery"/>
    <s v="Direct"/>
    <s v="Default_Campaign"/>
    <s v="SAVE27"/>
    <n v="0"/>
    <n v="0"/>
    <x v="9"/>
    <n v="139.32"/>
    <n v="0"/>
    <n v="18.11"/>
    <n v="7.82"/>
    <n v="165.25"/>
    <n v="80.12"/>
    <n v="77.31"/>
    <n v="46.78"/>
    <n v="4386.58"/>
    <b v="1"/>
    <n v="8"/>
  </r>
  <r>
    <s v="ORD-155981"/>
    <x v="233"/>
    <d v="1899-12-30T12:11:12"/>
    <s v="Returned"/>
    <x v="1"/>
    <x v="283"/>
    <s v="Gina Moore"/>
    <n v="66"/>
    <s v="Male"/>
    <x v="1"/>
    <s v="Loyal"/>
    <x v="281"/>
    <s v="Georgia"/>
    <s v="USA"/>
    <x v="1"/>
    <n v="3469"/>
    <x v="3"/>
    <s v="Refunded"/>
    <s v="USD"/>
    <s v="Express"/>
    <s v="WH-013"/>
    <s v="Cancelled"/>
    <s v="Returned"/>
    <s v="Changed Mind"/>
    <s v="Google Ads"/>
    <s v="Google_Shopping"/>
    <s v="SAVE23"/>
    <n v="0"/>
    <n v="0"/>
    <x v="7"/>
    <n v="561.1"/>
    <n v="0"/>
    <n v="39.28"/>
    <n v="15.06"/>
    <n v="615.44000000000005"/>
    <n v="356.41"/>
    <n v="243.97"/>
    <n v="39.64"/>
    <n v="6289.48"/>
    <b v="1"/>
    <n v="7"/>
  </r>
  <r>
    <s v="ORD-987627"/>
    <x v="59"/>
    <d v="1899-12-30T02:15:31"/>
    <s v="Returned"/>
    <x v="2"/>
    <x v="284"/>
    <s v="James Fowler"/>
    <n v="40"/>
    <s v="Male"/>
    <x v="1"/>
    <s v="Loyal"/>
    <x v="282"/>
    <s v="Georgia"/>
    <s v="USA"/>
    <x v="1"/>
    <n v="99904"/>
    <x v="5"/>
    <s v="Refunded"/>
    <s v="USD"/>
    <s v="Express"/>
    <s v="WH-012"/>
    <s v="Cancelled"/>
    <s v="Returned"/>
    <s v="Wrong Product"/>
    <s v="Facebook Ads"/>
    <s v="FB_Retargeting"/>
    <s v="SAVE17"/>
    <n v="0"/>
    <n v="0"/>
    <x v="10"/>
    <n v="9012.6"/>
    <n v="0"/>
    <n v="630.88"/>
    <n v="35.57"/>
    <n v="9679.0499999999993"/>
    <n v="5551"/>
    <n v="4092.48"/>
    <n v="42.28"/>
    <n v="17489.990000000002"/>
    <b v="1"/>
    <n v="6"/>
  </r>
  <r>
    <s v="ORD-838024"/>
    <x v="234"/>
    <d v="1899-12-30T19:51:41"/>
    <s v="Returned"/>
    <x v="1"/>
    <x v="285"/>
    <s v="Alexander Warren"/>
    <n v="25"/>
    <s v="Female"/>
    <x v="1"/>
    <s v="Loyal"/>
    <x v="283"/>
    <s v="British Columbia"/>
    <s v="Canada"/>
    <x v="3"/>
    <n v="48767"/>
    <x v="2"/>
    <s v="Refunded"/>
    <s v="CAD"/>
    <s v="Express"/>
    <s v="WH-016"/>
    <s v="Cancelled"/>
    <s v="Returned"/>
    <s v="Changed Mind"/>
    <s v="TikTok"/>
    <s v="Default_Campaign"/>
    <s v="SAVE27"/>
    <n v="0"/>
    <n v="0"/>
    <x v="5"/>
    <n v="512.32000000000005"/>
    <n v="0"/>
    <n v="66.599999999999994"/>
    <n v="19.22"/>
    <n v="598.14"/>
    <n v="250.47"/>
    <n v="328.45"/>
    <n v="54.91"/>
    <n v="7483.3"/>
    <b v="1"/>
    <n v="7"/>
  </r>
  <r>
    <s v="ORD-709351"/>
    <x v="90"/>
    <d v="1899-12-30T18:52:09"/>
    <s v="Returned"/>
    <x v="2"/>
    <x v="286"/>
    <s v="Mary Beasley"/>
    <n v="71"/>
    <s v="Male"/>
    <x v="3"/>
    <s v="Loyal"/>
    <x v="284"/>
    <s v="Maharashtra"/>
    <s v="India"/>
    <x v="3"/>
    <n v="1494"/>
    <x v="5"/>
    <s v="Refunded"/>
    <s v="INR"/>
    <s v="Standard"/>
    <s v="WH-011"/>
    <s v="Cancelled"/>
    <s v="Returned"/>
    <s v="Size Issue"/>
    <s v="Organic Search"/>
    <s v="Default_Campaign"/>
    <s v="SAVE33"/>
    <n v="0"/>
    <n v="0"/>
    <x v="4"/>
    <n v="1086.92"/>
    <n v="0"/>
    <n v="195.65"/>
    <n v="18.32"/>
    <n v="1300.8900000000001"/>
    <n v="573.70000000000005"/>
    <n v="708.87"/>
    <n v="54.49"/>
    <n v="10061.6"/>
    <b v="1"/>
    <n v="10"/>
  </r>
  <r>
    <s v="ORD-159444"/>
    <x v="172"/>
    <d v="1899-12-30T13:55:14"/>
    <s v="Returned"/>
    <x v="1"/>
    <x v="287"/>
    <s v="Victor Mooney"/>
    <n v="65"/>
    <s v="Male"/>
    <x v="0"/>
    <s v="Loyal"/>
    <x v="285"/>
    <s v="Ohio"/>
    <s v="USA"/>
    <x v="2"/>
    <n v="22932"/>
    <x v="5"/>
    <s v="Refunded"/>
    <s v="USD"/>
    <s v="Same Day"/>
    <s v="WH-019"/>
    <s v="Cancelled"/>
    <s v="Returned"/>
    <s v="Defective Product"/>
    <s v="Organic Search"/>
    <s v="Default_Campaign"/>
    <s v="SAVE10"/>
    <n v="0"/>
    <n v="0"/>
    <x v="4"/>
    <n v="430.12"/>
    <n v="0"/>
    <n v="30.1"/>
    <n v="63.08"/>
    <n v="523.29999999999995"/>
    <n v="150.38999999999999"/>
    <n v="309.83"/>
    <n v="59.21"/>
    <n v="12139.31"/>
    <b v="1"/>
    <n v="9"/>
  </r>
  <r>
    <s v="ORD-666438"/>
    <x v="235"/>
    <d v="1899-12-30T04:43:50"/>
    <s v="Returned"/>
    <x v="0"/>
    <x v="288"/>
    <s v="Vicki Robinson"/>
    <n v="29"/>
    <s v="Female"/>
    <x v="0"/>
    <s v="Loyal"/>
    <x v="286"/>
    <s v="California"/>
    <s v="USA"/>
    <x v="3"/>
    <n v="39447"/>
    <x v="1"/>
    <s v="Refunded"/>
    <s v="USD"/>
    <s v="Express"/>
    <s v="WH-008"/>
    <s v="Cancelled"/>
    <s v="Returned"/>
    <s v="Damaged Product"/>
    <s v="Organic Search"/>
    <s v="Default_Campaign"/>
    <s v="SAVE37"/>
    <n v="0"/>
    <n v="0"/>
    <x v="0"/>
    <n v="655.29"/>
    <n v="0"/>
    <n v="45.87"/>
    <n v="20.49"/>
    <n v="721.65"/>
    <n v="281.2"/>
    <n v="419.96"/>
    <n v="58.19"/>
    <n v="6461.05"/>
    <b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0463E-1FCF-463E-B445-9D6EA83593A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Year">
  <location ref="A1:B7" firstHeaderRow="1" firstDataRow="1" firstDataCol="1"/>
  <pivotFields count="42">
    <pivotField showAll="0"/>
    <pivotField numFmtId="14" showAll="0">
      <items count="237">
        <item x="0"/>
        <item x="108"/>
        <item x="75"/>
        <item x="172"/>
        <item x="31"/>
        <item x="106"/>
        <item x="24"/>
        <item x="86"/>
        <item x="138"/>
        <item x="130"/>
        <item x="39"/>
        <item x="29"/>
        <item x="12"/>
        <item x="230"/>
        <item x="22"/>
        <item x="63"/>
        <item x="111"/>
        <item x="14"/>
        <item x="91"/>
        <item x="10"/>
        <item x="202"/>
        <item x="218"/>
        <item x="30"/>
        <item x="187"/>
        <item x="36"/>
        <item x="220"/>
        <item x="100"/>
        <item x="169"/>
        <item x="151"/>
        <item x="123"/>
        <item x="62"/>
        <item x="21"/>
        <item x="180"/>
        <item x="204"/>
        <item x="95"/>
        <item x="168"/>
        <item x="85"/>
        <item x="45"/>
        <item x="183"/>
        <item x="32"/>
        <item x="120"/>
        <item x="176"/>
        <item x="116"/>
        <item x="42"/>
        <item x="232"/>
        <item x="76"/>
        <item x="197"/>
        <item x="161"/>
        <item x="28"/>
        <item x="64"/>
        <item x="165"/>
        <item x="229"/>
        <item x="43"/>
        <item x="147"/>
        <item x="121"/>
        <item x="184"/>
        <item x="102"/>
        <item x="137"/>
        <item x="203"/>
        <item x="16"/>
        <item x="179"/>
        <item x="135"/>
        <item x="101"/>
        <item x="181"/>
        <item x="104"/>
        <item x="225"/>
        <item x="2"/>
        <item x="175"/>
        <item x="212"/>
        <item x="7"/>
        <item x="13"/>
        <item x="131"/>
        <item x="156"/>
        <item x="210"/>
        <item x="222"/>
        <item x="97"/>
        <item x="224"/>
        <item x="118"/>
        <item x="133"/>
        <item x="223"/>
        <item x="174"/>
        <item x="226"/>
        <item x="53"/>
        <item x="129"/>
        <item x="193"/>
        <item x="94"/>
        <item x="8"/>
        <item x="103"/>
        <item x="153"/>
        <item x="83"/>
        <item x="219"/>
        <item x="198"/>
        <item x="228"/>
        <item x="227"/>
        <item x="188"/>
        <item x="163"/>
        <item x="20"/>
        <item x="79"/>
        <item x="38"/>
        <item x="214"/>
        <item x="90"/>
        <item x="215"/>
        <item x="98"/>
        <item x="208"/>
        <item x="194"/>
        <item x="93"/>
        <item x="185"/>
        <item x="124"/>
        <item x="49"/>
        <item x="145"/>
        <item x="65"/>
        <item x="205"/>
        <item x="209"/>
        <item x="80"/>
        <item x="178"/>
        <item x="66"/>
        <item x="196"/>
        <item x="58"/>
        <item x="140"/>
        <item x="132"/>
        <item x="19"/>
        <item x="59"/>
        <item x="82"/>
        <item x="167"/>
        <item x="128"/>
        <item x="15"/>
        <item x="162"/>
        <item x="69"/>
        <item x="105"/>
        <item x="182"/>
        <item x="217"/>
        <item x="143"/>
        <item x="117"/>
        <item x="48"/>
        <item x="189"/>
        <item x="67"/>
        <item x="142"/>
        <item x="231"/>
        <item x="139"/>
        <item x="235"/>
        <item x="119"/>
        <item x="125"/>
        <item x="70"/>
        <item x="200"/>
        <item x="1"/>
        <item x="77"/>
        <item x="190"/>
        <item x="74"/>
        <item x="207"/>
        <item x="6"/>
        <item x="186"/>
        <item x="109"/>
        <item x="17"/>
        <item x="99"/>
        <item x="171"/>
        <item x="107"/>
        <item x="9"/>
        <item x="27"/>
        <item x="37"/>
        <item x="73"/>
        <item x="233"/>
        <item x="115"/>
        <item x="127"/>
        <item x="173"/>
        <item x="50"/>
        <item x="84"/>
        <item x="44"/>
        <item x="3"/>
        <item x="166"/>
        <item x="199"/>
        <item x="159"/>
        <item x="158"/>
        <item x="72"/>
        <item x="195"/>
        <item x="141"/>
        <item x="52"/>
        <item x="112"/>
        <item x="11"/>
        <item x="26"/>
        <item x="78"/>
        <item x="34"/>
        <item x="54"/>
        <item x="61"/>
        <item x="148"/>
        <item x="114"/>
        <item x="134"/>
        <item x="192"/>
        <item x="211"/>
        <item x="110"/>
        <item x="157"/>
        <item x="87"/>
        <item x="68"/>
        <item x="47"/>
        <item x="55"/>
        <item x="221"/>
        <item x="40"/>
        <item x="216"/>
        <item x="136"/>
        <item x="41"/>
        <item x="4"/>
        <item x="122"/>
        <item x="113"/>
        <item x="46"/>
        <item x="191"/>
        <item x="96"/>
        <item x="25"/>
        <item x="51"/>
        <item x="57"/>
        <item x="177"/>
        <item x="154"/>
        <item x="92"/>
        <item x="234"/>
        <item x="150"/>
        <item x="33"/>
        <item x="56"/>
        <item x="206"/>
        <item x="18"/>
        <item x="164"/>
        <item x="144"/>
        <item x="126"/>
        <item x="60"/>
        <item x="71"/>
        <item x="5"/>
        <item x="89"/>
        <item x="81"/>
        <item x="170"/>
        <item x="213"/>
        <item x="149"/>
        <item x="23"/>
        <item x="160"/>
        <item x="201"/>
        <item x="146"/>
        <item x="35"/>
        <item x="88"/>
        <item x="152"/>
        <item x="15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_sales" fld="34" baseField="0" baseItem="0" numFmtId="43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1" type="button" dataOnly="0" labelOnly="1" outline="0" axis="axisRow" fieldPosition="0"/>
    </format>
    <format dxfId="32">
      <pivotArea dataOnly="0" labelOnly="1" fieldPosition="0">
        <references count="1">
          <reference field="41" count="5">
            <x v="1"/>
            <x v="2"/>
            <x v="3"/>
            <x v="4"/>
            <x v="5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96B9A-BEDE-4668-8EF8-F8EF4BF6C02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ales_Channel">
  <location ref="A1:B6" firstHeaderRow="1" firstDataRow="1" firstDataCol="1"/>
  <pivotFields count="42">
    <pivotField showAll="0"/>
    <pivotField numFmtId="14" showAll="0">
      <items count="237">
        <item x="0"/>
        <item x="108"/>
        <item x="75"/>
        <item x="172"/>
        <item x="31"/>
        <item x="106"/>
        <item x="24"/>
        <item x="86"/>
        <item x="138"/>
        <item x="130"/>
        <item x="39"/>
        <item x="29"/>
        <item x="12"/>
        <item x="230"/>
        <item x="22"/>
        <item x="63"/>
        <item x="111"/>
        <item x="14"/>
        <item x="91"/>
        <item x="10"/>
        <item x="202"/>
        <item x="218"/>
        <item x="30"/>
        <item x="187"/>
        <item x="36"/>
        <item x="220"/>
        <item x="100"/>
        <item x="169"/>
        <item x="151"/>
        <item x="123"/>
        <item x="62"/>
        <item x="21"/>
        <item x="180"/>
        <item x="204"/>
        <item x="95"/>
        <item x="168"/>
        <item x="85"/>
        <item x="45"/>
        <item x="183"/>
        <item x="32"/>
        <item x="120"/>
        <item x="176"/>
        <item x="116"/>
        <item x="42"/>
        <item x="232"/>
        <item x="76"/>
        <item x="197"/>
        <item x="161"/>
        <item x="28"/>
        <item x="64"/>
        <item x="165"/>
        <item x="229"/>
        <item x="43"/>
        <item x="147"/>
        <item x="121"/>
        <item x="184"/>
        <item x="102"/>
        <item x="137"/>
        <item x="203"/>
        <item x="16"/>
        <item x="179"/>
        <item x="135"/>
        <item x="101"/>
        <item x="181"/>
        <item x="104"/>
        <item x="225"/>
        <item x="2"/>
        <item x="175"/>
        <item x="212"/>
        <item x="7"/>
        <item x="13"/>
        <item x="131"/>
        <item x="156"/>
        <item x="210"/>
        <item x="222"/>
        <item x="97"/>
        <item x="224"/>
        <item x="118"/>
        <item x="133"/>
        <item x="223"/>
        <item x="174"/>
        <item x="226"/>
        <item x="53"/>
        <item x="129"/>
        <item x="193"/>
        <item x="94"/>
        <item x="8"/>
        <item x="103"/>
        <item x="153"/>
        <item x="83"/>
        <item x="219"/>
        <item x="198"/>
        <item x="228"/>
        <item x="227"/>
        <item x="188"/>
        <item x="163"/>
        <item x="20"/>
        <item x="79"/>
        <item x="38"/>
        <item x="214"/>
        <item x="90"/>
        <item x="215"/>
        <item x="98"/>
        <item x="208"/>
        <item x="194"/>
        <item x="93"/>
        <item x="185"/>
        <item x="124"/>
        <item x="49"/>
        <item x="145"/>
        <item x="65"/>
        <item x="205"/>
        <item x="209"/>
        <item x="80"/>
        <item x="178"/>
        <item x="66"/>
        <item x="196"/>
        <item x="58"/>
        <item x="140"/>
        <item x="132"/>
        <item x="19"/>
        <item x="59"/>
        <item x="82"/>
        <item x="167"/>
        <item x="128"/>
        <item x="15"/>
        <item x="162"/>
        <item x="69"/>
        <item x="105"/>
        <item x="182"/>
        <item x="217"/>
        <item x="143"/>
        <item x="117"/>
        <item x="48"/>
        <item x="189"/>
        <item x="67"/>
        <item x="142"/>
        <item x="231"/>
        <item x="139"/>
        <item x="235"/>
        <item x="119"/>
        <item x="125"/>
        <item x="70"/>
        <item x="200"/>
        <item x="1"/>
        <item x="77"/>
        <item x="190"/>
        <item x="74"/>
        <item x="207"/>
        <item x="6"/>
        <item x="186"/>
        <item x="109"/>
        <item x="17"/>
        <item x="99"/>
        <item x="171"/>
        <item x="107"/>
        <item x="9"/>
        <item x="27"/>
        <item x="37"/>
        <item x="73"/>
        <item x="233"/>
        <item x="115"/>
        <item x="127"/>
        <item x="173"/>
        <item x="50"/>
        <item x="84"/>
        <item x="44"/>
        <item x="3"/>
        <item x="166"/>
        <item x="199"/>
        <item x="159"/>
        <item x="158"/>
        <item x="72"/>
        <item x="195"/>
        <item x="141"/>
        <item x="52"/>
        <item x="112"/>
        <item x="11"/>
        <item x="26"/>
        <item x="78"/>
        <item x="34"/>
        <item x="54"/>
        <item x="61"/>
        <item x="148"/>
        <item x="114"/>
        <item x="134"/>
        <item x="192"/>
        <item x="211"/>
        <item x="110"/>
        <item x="157"/>
        <item x="87"/>
        <item x="68"/>
        <item x="47"/>
        <item x="55"/>
        <item x="221"/>
        <item x="40"/>
        <item x="216"/>
        <item x="136"/>
        <item x="41"/>
        <item x="4"/>
        <item x="122"/>
        <item x="113"/>
        <item x="46"/>
        <item x="191"/>
        <item x="96"/>
        <item x="25"/>
        <item x="51"/>
        <item x="57"/>
        <item x="177"/>
        <item x="154"/>
        <item x="92"/>
        <item x="234"/>
        <item x="150"/>
        <item x="33"/>
        <item x="56"/>
        <item x="206"/>
        <item x="18"/>
        <item x="164"/>
        <item x="144"/>
        <item x="126"/>
        <item x="60"/>
        <item x="71"/>
        <item x="5"/>
        <item x="89"/>
        <item x="81"/>
        <item x="170"/>
        <item x="213"/>
        <item x="149"/>
        <item x="23"/>
        <item x="160"/>
        <item x="201"/>
        <item x="146"/>
        <item x="35"/>
        <item x="88"/>
        <item x="152"/>
        <item x="155"/>
        <item t="default"/>
      </items>
    </pivotField>
    <pivotField numFmtId="16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34" baseField="0" baseItem="0" numFmtId="43"/>
  </dataFields>
  <formats count="6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4" type="button" dataOnly="0" labelOnly="1" outline="0" axis="axisRow" fieldPosition="0"/>
    </format>
    <format dxfId="63">
      <pivotArea dataOnly="0" labelOnly="1" fieldPosition="0">
        <references count="1">
          <reference field="4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292D4-B516-4DFC-942C-17763870B01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1:B7" firstHeaderRow="1" firstDataRow="1" firstDataCol="1"/>
  <pivotFields count="42">
    <pivotField showAll="0"/>
    <pivotField numFmtId="14" showAll="0">
      <items count="237">
        <item x="0"/>
        <item x="108"/>
        <item x="75"/>
        <item x="172"/>
        <item x="31"/>
        <item x="106"/>
        <item x="24"/>
        <item x="86"/>
        <item x="138"/>
        <item x="130"/>
        <item x="39"/>
        <item x="29"/>
        <item x="12"/>
        <item x="230"/>
        <item x="22"/>
        <item x="63"/>
        <item x="111"/>
        <item x="14"/>
        <item x="91"/>
        <item x="10"/>
        <item x="202"/>
        <item x="218"/>
        <item x="30"/>
        <item x="187"/>
        <item x="36"/>
        <item x="220"/>
        <item x="100"/>
        <item x="169"/>
        <item x="151"/>
        <item x="123"/>
        <item x="62"/>
        <item x="21"/>
        <item x="180"/>
        <item x="204"/>
        <item x="95"/>
        <item x="168"/>
        <item x="85"/>
        <item x="45"/>
        <item x="183"/>
        <item x="32"/>
        <item x="120"/>
        <item x="176"/>
        <item x="116"/>
        <item x="42"/>
        <item x="232"/>
        <item x="76"/>
        <item x="197"/>
        <item x="161"/>
        <item x="28"/>
        <item x="64"/>
        <item x="165"/>
        <item x="229"/>
        <item x="43"/>
        <item x="147"/>
        <item x="121"/>
        <item x="184"/>
        <item x="102"/>
        <item x="137"/>
        <item x="203"/>
        <item x="16"/>
        <item x="179"/>
        <item x="135"/>
        <item x="101"/>
        <item x="181"/>
        <item x="104"/>
        <item x="225"/>
        <item x="2"/>
        <item x="175"/>
        <item x="212"/>
        <item x="7"/>
        <item x="13"/>
        <item x="131"/>
        <item x="156"/>
        <item x="210"/>
        <item x="222"/>
        <item x="97"/>
        <item x="224"/>
        <item x="118"/>
        <item x="133"/>
        <item x="223"/>
        <item x="174"/>
        <item x="226"/>
        <item x="53"/>
        <item x="129"/>
        <item x="193"/>
        <item x="94"/>
        <item x="8"/>
        <item x="103"/>
        <item x="153"/>
        <item x="83"/>
        <item x="219"/>
        <item x="198"/>
        <item x="228"/>
        <item x="227"/>
        <item x="188"/>
        <item x="163"/>
        <item x="20"/>
        <item x="79"/>
        <item x="38"/>
        <item x="214"/>
        <item x="90"/>
        <item x="215"/>
        <item x="98"/>
        <item x="208"/>
        <item x="194"/>
        <item x="93"/>
        <item x="185"/>
        <item x="124"/>
        <item x="49"/>
        <item x="145"/>
        <item x="65"/>
        <item x="205"/>
        <item x="209"/>
        <item x="80"/>
        <item x="178"/>
        <item x="66"/>
        <item x="196"/>
        <item x="58"/>
        <item x="140"/>
        <item x="132"/>
        <item x="19"/>
        <item x="59"/>
        <item x="82"/>
        <item x="167"/>
        <item x="128"/>
        <item x="15"/>
        <item x="162"/>
        <item x="69"/>
        <item x="105"/>
        <item x="182"/>
        <item x="217"/>
        <item x="143"/>
        <item x="117"/>
        <item x="48"/>
        <item x="189"/>
        <item x="67"/>
        <item x="142"/>
        <item x="231"/>
        <item x="139"/>
        <item x="235"/>
        <item x="119"/>
        <item x="125"/>
        <item x="70"/>
        <item x="200"/>
        <item x="1"/>
        <item x="77"/>
        <item x="190"/>
        <item x="74"/>
        <item x="207"/>
        <item x="6"/>
        <item x="186"/>
        <item x="109"/>
        <item x="17"/>
        <item x="99"/>
        <item x="171"/>
        <item x="107"/>
        <item x="9"/>
        <item x="27"/>
        <item x="37"/>
        <item x="73"/>
        <item x="233"/>
        <item x="115"/>
        <item x="127"/>
        <item x="173"/>
        <item x="50"/>
        <item x="84"/>
        <item x="44"/>
        <item x="3"/>
        <item x="166"/>
        <item x="199"/>
        <item x="159"/>
        <item x="158"/>
        <item x="72"/>
        <item x="195"/>
        <item x="141"/>
        <item x="52"/>
        <item x="112"/>
        <item x="11"/>
        <item x="26"/>
        <item x="78"/>
        <item x="34"/>
        <item x="54"/>
        <item x="61"/>
        <item x="148"/>
        <item x="114"/>
        <item x="134"/>
        <item x="192"/>
        <item x="211"/>
        <item x="110"/>
        <item x="157"/>
        <item x="87"/>
        <item x="68"/>
        <item x="47"/>
        <item x="55"/>
        <item x="221"/>
        <item x="40"/>
        <item x="216"/>
        <item x="136"/>
        <item x="41"/>
        <item x="4"/>
        <item x="122"/>
        <item x="113"/>
        <item x="46"/>
        <item x="191"/>
        <item x="96"/>
        <item x="25"/>
        <item x="51"/>
        <item x="57"/>
        <item x="177"/>
        <item x="154"/>
        <item x="92"/>
        <item x="234"/>
        <item x="150"/>
        <item x="33"/>
        <item x="56"/>
        <item x="206"/>
        <item x="18"/>
        <item x="164"/>
        <item x="144"/>
        <item x="126"/>
        <item x="60"/>
        <item x="71"/>
        <item x="5"/>
        <item x="89"/>
        <item x="81"/>
        <item x="170"/>
        <item x="213"/>
        <item x="149"/>
        <item x="23"/>
        <item x="160"/>
        <item x="201"/>
        <item x="146"/>
        <item x="35"/>
        <item x="88"/>
        <item x="152"/>
        <item x="15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es" fld="34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4" type="button" dataOnly="0" labelOnly="1" outline="0" axis="axisRow" fieldPosition="0"/>
    </format>
    <format dxfId="26">
      <pivotArea dataOnly="0" labelOnly="1" fieldPosition="0">
        <references count="1">
          <reference field="1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6B09D-876A-4273-9745-0D5ECDA7F45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ustomer Segment">
  <location ref="A1:B6" firstHeaderRow="1" firstDataRow="1" firstDataCol="1"/>
  <pivotFields count="42">
    <pivotField showAll="0"/>
    <pivotField numFmtId="14" showAll="0">
      <items count="237">
        <item x="0"/>
        <item x="108"/>
        <item x="75"/>
        <item x="172"/>
        <item x="31"/>
        <item x="106"/>
        <item x="24"/>
        <item x="86"/>
        <item x="138"/>
        <item x="130"/>
        <item x="39"/>
        <item x="29"/>
        <item x="12"/>
        <item x="230"/>
        <item x="22"/>
        <item x="63"/>
        <item x="111"/>
        <item x="14"/>
        <item x="91"/>
        <item x="10"/>
        <item x="202"/>
        <item x="218"/>
        <item x="30"/>
        <item x="187"/>
        <item x="36"/>
        <item x="220"/>
        <item x="100"/>
        <item x="169"/>
        <item x="151"/>
        <item x="123"/>
        <item x="62"/>
        <item x="21"/>
        <item x="180"/>
        <item x="204"/>
        <item x="95"/>
        <item x="168"/>
        <item x="85"/>
        <item x="45"/>
        <item x="183"/>
        <item x="32"/>
        <item x="120"/>
        <item x="176"/>
        <item x="116"/>
        <item x="42"/>
        <item x="232"/>
        <item x="76"/>
        <item x="197"/>
        <item x="161"/>
        <item x="28"/>
        <item x="64"/>
        <item x="165"/>
        <item x="229"/>
        <item x="43"/>
        <item x="147"/>
        <item x="121"/>
        <item x="184"/>
        <item x="102"/>
        <item x="137"/>
        <item x="203"/>
        <item x="16"/>
        <item x="179"/>
        <item x="135"/>
        <item x="101"/>
        <item x="181"/>
        <item x="104"/>
        <item x="225"/>
        <item x="2"/>
        <item x="175"/>
        <item x="212"/>
        <item x="7"/>
        <item x="13"/>
        <item x="131"/>
        <item x="156"/>
        <item x="210"/>
        <item x="222"/>
        <item x="97"/>
        <item x="224"/>
        <item x="118"/>
        <item x="133"/>
        <item x="223"/>
        <item x="174"/>
        <item x="226"/>
        <item x="53"/>
        <item x="129"/>
        <item x="193"/>
        <item x="94"/>
        <item x="8"/>
        <item x="103"/>
        <item x="153"/>
        <item x="83"/>
        <item x="219"/>
        <item x="198"/>
        <item x="228"/>
        <item x="227"/>
        <item x="188"/>
        <item x="163"/>
        <item x="20"/>
        <item x="79"/>
        <item x="38"/>
        <item x="214"/>
        <item x="90"/>
        <item x="215"/>
        <item x="98"/>
        <item x="208"/>
        <item x="194"/>
        <item x="93"/>
        <item x="185"/>
        <item x="124"/>
        <item x="49"/>
        <item x="145"/>
        <item x="65"/>
        <item x="205"/>
        <item x="209"/>
        <item x="80"/>
        <item x="178"/>
        <item x="66"/>
        <item x="196"/>
        <item x="58"/>
        <item x="140"/>
        <item x="132"/>
        <item x="19"/>
        <item x="59"/>
        <item x="82"/>
        <item x="167"/>
        <item x="128"/>
        <item x="15"/>
        <item x="162"/>
        <item x="69"/>
        <item x="105"/>
        <item x="182"/>
        <item x="217"/>
        <item x="143"/>
        <item x="117"/>
        <item x="48"/>
        <item x="189"/>
        <item x="67"/>
        <item x="142"/>
        <item x="231"/>
        <item x="139"/>
        <item x="235"/>
        <item x="119"/>
        <item x="125"/>
        <item x="70"/>
        <item x="200"/>
        <item x="1"/>
        <item x="77"/>
        <item x="190"/>
        <item x="74"/>
        <item x="207"/>
        <item x="6"/>
        <item x="186"/>
        <item x="109"/>
        <item x="17"/>
        <item x="99"/>
        <item x="171"/>
        <item x="107"/>
        <item x="9"/>
        <item x="27"/>
        <item x="37"/>
        <item x="73"/>
        <item x="233"/>
        <item x="115"/>
        <item x="127"/>
        <item x="173"/>
        <item x="50"/>
        <item x="84"/>
        <item x="44"/>
        <item x="3"/>
        <item x="166"/>
        <item x="199"/>
        <item x="159"/>
        <item x="158"/>
        <item x="72"/>
        <item x="195"/>
        <item x="141"/>
        <item x="52"/>
        <item x="112"/>
        <item x="11"/>
        <item x="26"/>
        <item x="78"/>
        <item x="34"/>
        <item x="54"/>
        <item x="61"/>
        <item x="148"/>
        <item x="114"/>
        <item x="134"/>
        <item x="192"/>
        <item x="211"/>
        <item x="110"/>
        <item x="157"/>
        <item x="87"/>
        <item x="68"/>
        <item x="47"/>
        <item x="55"/>
        <item x="221"/>
        <item x="40"/>
        <item x="216"/>
        <item x="136"/>
        <item x="41"/>
        <item x="4"/>
        <item x="122"/>
        <item x="113"/>
        <item x="46"/>
        <item x="191"/>
        <item x="96"/>
        <item x="25"/>
        <item x="51"/>
        <item x="57"/>
        <item x="177"/>
        <item x="154"/>
        <item x="92"/>
        <item x="234"/>
        <item x="150"/>
        <item x="33"/>
        <item x="56"/>
        <item x="206"/>
        <item x="18"/>
        <item x="164"/>
        <item x="144"/>
        <item x="126"/>
        <item x="60"/>
        <item x="71"/>
        <item x="5"/>
        <item x="89"/>
        <item x="81"/>
        <item x="170"/>
        <item x="213"/>
        <item x="149"/>
        <item x="23"/>
        <item x="160"/>
        <item x="201"/>
        <item x="146"/>
        <item x="35"/>
        <item x="88"/>
        <item x="152"/>
        <item x="15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34" baseField="0" baseItem="0" numFmtId="43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9" type="button" dataOnly="0" labelOnly="1" outline="0" axis="axisRow" fieldPosition="0"/>
    </format>
    <format dxfId="14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6177E-0A34-4B10-AF98-B275206AC92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ayment Method">
  <location ref="A1:B9" firstHeaderRow="1" firstDataRow="1" firstDataCol="1"/>
  <pivotFields count="42">
    <pivotField showAll="0"/>
    <pivotField numFmtId="14" showAll="0">
      <items count="237">
        <item x="0"/>
        <item x="108"/>
        <item x="75"/>
        <item x="172"/>
        <item x="31"/>
        <item x="106"/>
        <item x="24"/>
        <item x="86"/>
        <item x="138"/>
        <item x="130"/>
        <item x="39"/>
        <item x="29"/>
        <item x="12"/>
        <item x="230"/>
        <item x="22"/>
        <item x="63"/>
        <item x="111"/>
        <item x="14"/>
        <item x="91"/>
        <item x="10"/>
        <item x="202"/>
        <item x="218"/>
        <item x="30"/>
        <item x="187"/>
        <item x="36"/>
        <item x="220"/>
        <item x="100"/>
        <item x="169"/>
        <item x="151"/>
        <item x="123"/>
        <item x="62"/>
        <item x="21"/>
        <item x="180"/>
        <item x="204"/>
        <item x="95"/>
        <item x="168"/>
        <item x="85"/>
        <item x="45"/>
        <item x="183"/>
        <item x="32"/>
        <item x="120"/>
        <item x="176"/>
        <item x="116"/>
        <item x="42"/>
        <item x="232"/>
        <item x="76"/>
        <item x="197"/>
        <item x="161"/>
        <item x="28"/>
        <item x="64"/>
        <item x="165"/>
        <item x="229"/>
        <item x="43"/>
        <item x="147"/>
        <item x="121"/>
        <item x="184"/>
        <item x="102"/>
        <item x="137"/>
        <item x="203"/>
        <item x="16"/>
        <item x="179"/>
        <item x="135"/>
        <item x="101"/>
        <item x="181"/>
        <item x="104"/>
        <item x="225"/>
        <item x="2"/>
        <item x="175"/>
        <item x="212"/>
        <item x="7"/>
        <item x="13"/>
        <item x="131"/>
        <item x="156"/>
        <item x="210"/>
        <item x="222"/>
        <item x="97"/>
        <item x="224"/>
        <item x="118"/>
        <item x="133"/>
        <item x="223"/>
        <item x="174"/>
        <item x="226"/>
        <item x="53"/>
        <item x="129"/>
        <item x="193"/>
        <item x="94"/>
        <item x="8"/>
        <item x="103"/>
        <item x="153"/>
        <item x="83"/>
        <item x="219"/>
        <item x="198"/>
        <item x="228"/>
        <item x="227"/>
        <item x="188"/>
        <item x="163"/>
        <item x="20"/>
        <item x="79"/>
        <item x="38"/>
        <item x="214"/>
        <item x="90"/>
        <item x="215"/>
        <item x="98"/>
        <item x="208"/>
        <item x="194"/>
        <item x="93"/>
        <item x="185"/>
        <item x="124"/>
        <item x="49"/>
        <item x="145"/>
        <item x="65"/>
        <item x="205"/>
        <item x="209"/>
        <item x="80"/>
        <item x="178"/>
        <item x="66"/>
        <item x="196"/>
        <item x="58"/>
        <item x="140"/>
        <item x="132"/>
        <item x="19"/>
        <item x="59"/>
        <item x="82"/>
        <item x="167"/>
        <item x="128"/>
        <item x="15"/>
        <item x="162"/>
        <item x="69"/>
        <item x="105"/>
        <item x="182"/>
        <item x="217"/>
        <item x="143"/>
        <item x="117"/>
        <item x="48"/>
        <item x="189"/>
        <item x="67"/>
        <item x="142"/>
        <item x="231"/>
        <item x="139"/>
        <item x="235"/>
        <item x="119"/>
        <item x="125"/>
        <item x="70"/>
        <item x="200"/>
        <item x="1"/>
        <item x="77"/>
        <item x="190"/>
        <item x="74"/>
        <item x="207"/>
        <item x="6"/>
        <item x="186"/>
        <item x="109"/>
        <item x="17"/>
        <item x="99"/>
        <item x="171"/>
        <item x="107"/>
        <item x="9"/>
        <item x="27"/>
        <item x="37"/>
        <item x="73"/>
        <item x="233"/>
        <item x="115"/>
        <item x="127"/>
        <item x="173"/>
        <item x="50"/>
        <item x="84"/>
        <item x="44"/>
        <item x="3"/>
        <item x="166"/>
        <item x="199"/>
        <item x="159"/>
        <item x="158"/>
        <item x="72"/>
        <item x="195"/>
        <item x="141"/>
        <item x="52"/>
        <item x="112"/>
        <item x="11"/>
        <item x="26"/>
        <item x="78"/>
        <item x="34"/>
        <item x="54"/>
        <item x="61"/>
        <item x="148"/>
        <item x="114"/>
        <item x="134"/>
        <item x="192"/>
        <item x="211"/>
        <item x="110"/>
        <item x="157"/>
        <item x="87"/>
        <item x="68"/>
        <item x="47"/>
        <item x="55"/>
        <item x="221"/>
        <item x="40"/>
        <item x="216"/>
        <item x="136"/>
        <item x="41"/>
        <item x="4"/>
        <item x="122"/>
        <item x="113"/>
        <item x="46"/>
        <item x="191"/>
        <item x="96"/>
        <item x="25"/>
        <item x="51"/>
        <item x="57"/>
        <item x="177"/>
        <item x="154"/>
        <item x="92"/>
        <item x="234"/>
        <item x="150"/>
        <item x="33"/>
        <item x="56"/>
        <item x="206"/>
        <item x="18"/>
        <item x="164"/>
        <item x="144"/>
        <item x="126"/>
        <item x="60"/>
        <item x="71"/>
        <item x="5"/>
        <item x="89"/>
        <item x="81"/>
        <item x="170"/>
        <item x="213"/>
        <item x="149"/>
        <item x="23"/>
        <item x="160"/>
        <item x="201"/>
        <item x="146"/>
        <item x="35"/>
        <item x="88"/>
        <item x="152"/>
        <item x="15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0"/>
        <item x="4"/>
        <item x="1"/>
        <item x="3"/>
        <item t="default"/>
      </items>
    </pivotField>
    <pivotField showAll="0"/>
    <pivotField axis="axisRow" showAll="0">
      <items count="8">
        <item x="6"/>
        <item x="1"/>
        <item x="0"/>
        <item x="5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et_sales" fld="34" baseField="0" baseItem="0" numFmtId="43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6" type="button" dataOnly="0" labelOnly="1" outline="0" axis="axisRow" fieldPosition="0"/>
    </format>
    <format dxfId="20">
      <pivotArea dataOnly="0" labelOnly="1" fieldPosition="0">
        <references count="1">
          <reference field="16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119E15-3589-43C5-9BD8-B6F467DE91B6}" autoFormatId="16" applyNumberFormats="0" applyBorderFormats="0" applyFontFormats="0" applyPatternFormats="0" applyAlignmentFormats="0" applyWidthHeightFormats="0">
  <queryTableRefresh nextId="44">
    <queryTableFields count="41">
      <queryTableField id="1" name="order_id" tableColumnId="1"/>
      <queryTableField id="2" name="order_date" tableColumnId="2"/>
      <queryTableField id="3" name="order_time" tableColumnId="3"/>
      <queryTableField id="4" name="order_status" tableColumnId="4"/>
      <queryTableField id="5" name="sales_channel" tableColumnId="5"/>
      <queryTableField id="6" name="customer_id" tableColumnId="6"/>
      <queryTableField id="7" name="customer_name" tableColumnId="7"/>
      <queryTableField id="8" name="customer_age" tableColumnId="8"/>
      <queryTableField id="9" name="gender" tableColumnId="9"/>
      <queryTableField id="10" name="customer_segment" tableColumnId="10"/>
      <queryTableField id="11" name="customer_type" tableColumnId="11"/>
      <queryTableField id="12" name="customer_city" tableColumnId="12"/>
      <queryTableField id="13" name="customer_state" tableColumnId="13"/>
      <queryTableField id="14" name="customer_country" tableColumnId="14"/>
      <queryTableField id="15" name="region" tableColumnId="15"/>
      <queryTableField id="16" name="customer_postal_code" tableColumnId="16"/>
      <queryTableField id="17" name="payment_method" tableColumnId="17"/>
      <queryTableField id="18" name="payment_status" tableColumnId="18"/>
      <queryTableField id="19" name="currency" tableColumnId="19"/>
      <queryTableField id="20" name="shipping_method" tableColumnId="20"/>
      <queryTableField id="21" name="warehouse" tableColumnId="21"/>
      <queryTableField id="22" name="delivery_status" tableColumnId="22"/>
      <queryTableField id="23" name="return_status" tableColumnId="23"/>
      <queryTableField id="24" name="return_reason" tableColumnId="24"/>
      <queryTableField id="25" name="marketing_channel" tableColumnId="25"/>
      <queryTableField id="26" name="campaign_name" tableColumnId="26"/>
      <queryTableField id="27" name="coupon_code" tableColumnId="27"/>
      <queryTableField id="28" name="loyalty_points_earned" tableColumnId="28"/>
      <queryTableField id="29" name="loyalty_points_redeemed" tableColumnId="29"/>
      <queryTableField id="30" name="quantity" tableColumnId="30"/>
      <queryTableField id="31" name="gross_sales" tableColumnId="31"/>
      <queryTableField id="32" name="discount_amount" tableColumnId="32"/>
      <queryTableField id="33" name="tax_amount" tableColumnId="33"/>
      <queryTableField id="34" name="shipping_cost" tableColumnId="34"/>
      <queryTableField id="35" name="net_sales" tableColumnId="35"/>
      <queryTableField id="36" name="product_cost" tableColumnId="36"/>
      <queryTableField id="37" name="profit" tableColumnId="37"/>
      <queryTableField id="38" name="profit_margin_percentage" tableColumnId="38"/>
      <queryTableField id="39" name="customer_lifetime_value" tableColumnId="39"/>
      <queryTableField id="40" name="is_repeat_customer" tableColumnId="40"/>
      <queryTableField id="41" name="customer_order_count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3D1A3-3863-4D4F-9F87-1EE96383802D}" name="ECommerce_sales_cleaned" displayName="ECommerce_sales_cleaned" ref="A1:AO290" tableType="queryTable" totalsRowShown="0">
  <autoFilter ref="A1:AO290" xr:uid="{4DE3D1A3-3863-4D4F-9F87-1EE96383802D}"/>
  <tableColumns count="41">
    <tableColumn id="1" xr3:uid="{0B820486-EC1B-4B94-B95E-93F001317751}" uniqueName="1" name="order_id" queryTableFieldId="1" dataDxfId="60"/>
    <tableColumn id="2" xr3:uid="{F5910C77-8248-42C5-9E5C-5261F7BC1941}" uniqueName="2" name="order_date" queryTableFieldId="2" dataDxfId="59"/>
    <tableColumn id="3" xr3:uid="{CFB9BA73-BBDB-469B-8F13-CDABE024485E}" uniqueName="3" name="order_time" queryTableFieldId="3" dataDxfId="58"/>
    <tableColumn id="4" xr3:uid="{0D3EDA56-5DCE-48AA-AAE8-3D64DD6A597C}" uniqueName="4" name="order_status" queryTableFieldId="4" dataDxfId="57"/>
    <tableColumn id="5" xr3:uid="{E1A50EA0-C318-457B-81F6-B540CA8A651A}" uniqueName="5" name="sales_channel" queryTableFieldId="5" dataDxfId="56"/>
    <tableColumn id="6" xr3:uid="{1A218F55-6682-4A94-878A-70041D767F96}" uniqueName="6" name="customer_id" queryTableFieldId="6" dataDxfId="55"/>
    <tableColumn id="7" xr3:uid="{A66AE5F1-981A-49A9-9CD1-8B247D456E4B}" uniqueName="7" name="customer_name" queryTableFieldId="7" dataDxfId="54"/>
    <tableColumn id="8" xr3:uid="{CE296A23-6CAB-4BAB-82AB-72CA6C8899BB}" uniqueName="8" name="customer_age" queryTableFieldId="8"/>
    <tableColumn id="9" xr3:uid="{2CF0E0C6-0063-4C42-885F-D68DDE12BA93}" uniqueName="9" name="gender" queryTableFieldId="9" dataDxfId="53"/>
    <tableColumn id="10" xr3:uid="{A698B399-2E17-4C78-8651-EBDC32BBFE85}" uniqueName="10" name="customer_segment" queryTableFieldId="10" dataDxfId="52"/>
    <tableColumn id="11" xr3:uid="{8962601A-AA41-40AA-9998-364B896987B0}" uniqueName="11" name="customer_type" queryTableFieldId="11" dataDxfId="51"/>
    <tableColumn id="12" xr3:uid="{4324CB7A-A71B-45FE-9E1F-F885E338C5C3}" uniqueName="12" name="customer_city" queryTableFieldId="12" dataDxfId="50"/>
    <tableColumn id="13" xr3:uid="{1BD5BAF0-123A-43A9-AD3E-C09A5DCB53B8}" uniqueName="13" name="customer_state" queryTableFieldId="13" dataDxfId="49"/>
    <tableColumn id="14" xr3:uid="{F5F648F6-74A8-4275-8761-C7F60F8A1CC0}" uniqueName="14" name="customer_country" queryTableFieldId="14" dataDxfId="48"/>
    <tableColumn id="15" xr3:uid="{E75CE4AA-3A1D-4594-AB08-594E939113B6}" uniqueName="15" name="region" queryTableFieldId="15" dataDxfId="47"/>
    <tableColumn id="16" xr3:uid="{A0A908F3-24AD-4005-A058-82DE1B845478}" uniqueName="16" name="customer_postal_code" queryTableFieldId="16"/>
    <tableColumn id="17" xr3:uid="{950727AE-6A56-4399-B2EF-F80FE1673C49}" uniqueName="17" name="payment_method" queryTableFieldId="17" dataDxfId="46"/>
    <tableColumn id="18" xr3:uid="{AC21AB1D-0A9B-41D4-A9B7-E555D0552F56}" uniqueName="18" name="payment_status" queryTableFieldId="18" dataDxfId="45"/>
    <tableColumn id="19" xr3:uid="{8BBDD5C9-FF39-4B87-A098-3DAFDACA9D6E}" uniqueName="19" name="currency" queryTableFieldId="19" dataDxfId="44"/>
    <tableColumn id="20" xr3:uid="{14B7D22D-E6A6-4CE3-A305-BC6E8FF125DB}" uniqueName="20" name="shipping_method" queryTableFieldId="20" dataDxfId="43"/>
    <tableColumn id="21" xr3:uid="{31F8A373-2883-4106-9227-59556CEABCBC}" uniqueName="21" name="warehouse" queryTableFieldId="21" dataDxfId="42"/>
    <tableColumn id="22" xr3:uid="{C59355F0-8AC4-42CA-9F8D-5B734EB4CE87}" uniqueName="22" name="delivery_status" queryTableFieldId="22" dataDxfId="41"/>
    <tableColumn id="23" xr3:uid="{F9C2FD92-E98E-427B-A4D5-EB4AE87CD28E}" uniqueName="23" name="return_status" queryTableFieldId="23" dataDxfId="40"/>
    <tableColumn id="24" xr3:uid="{838B1069-0096-4D68-B4C4-017CB466AB77}" uniqueName="24" name="return_reason" queryTableFieldId="24" dataDxfId="39"/>
    <tableColumn id="25" xr3:uid="{87204FDF-58BB-4ACA-9D0B-EB4BB6AACE5D}" uniqueName="25" name="marketing_channel" queryTableFieldId="25" dataDxfId="38"/>
    <tableColumn id="26" xr3:uid="{F6498352-62CE-465E-BEFF-42D3FC069DFC}" uniqueName="26" name="campaign_name" queryTableFieldId="26" dataDxfId="37"/>
    <tableColumn id="27" xr3:uid="{FF1FF438-A842-4627-A912-87F6A082EC22}" uniqueName="27" name="coupon_code" queryTableFieldId="27" dataDxfId="36"/>
    <tableColumn id="28" xr3:uid="{53405F9A-84FE-4BA9-8727-32FED29437C2}" uniqueName="28" name="loyalty_points_earned" queryTableFieldId="28"/>
    <tableColumn id="29" xr3:uid="{050F14EF-6493-4DFF-8D8F-8773FE91575E}" uniqueName="29" name="loyalty_points_redeemed" queryTableFieldId="29"/>
    <tableColumn id="30" xr3:uid="{77A2BC9B-A8A9-4187-BC75-FC1E228AE5C9}" uniqueName="30" name="quantity" queryTableFieldId="30"/>
    <tableColumn id="31" xr3:uid="{45837D3D-FEB0-4F20-A74A-D3263875DFE3}" uniqueName="31" name="gross_sales" queryTableFieldId="31"/>
    <tableColumn id="32" xr3:uid="{D69436D4-28D8-440E-9D9B-ABAF5EC09BC2}" uniqueName="32" name="discount_amount" queryTableFieldId="32"/>
    <tableColumn id="33" xr3:uid="{D8ED527D-93A9-480F-995F-4168950B5468}" uniqueName="33" name="tax_amount" queryTableFieldId="33"/>
    <tableColumn id="34" xr3:uid="{3BBC4918-D8BE-4BF1-98F1-0F2D5D2B4FAB}" uniqueName="34" name="shipping_cost" queryTableFieldId="34"/>
    <tableColumn id="35" xr3:uid="{37568C9B-A622-468E-8485-854DD66E710B}" uniqueName="35" name="net_sales" queryTableFieldId="35"/>
    <tableColumn id="36" xr3:uid="{47BC1E8D-B67F-4537-B2E7-80D53247309B}" uniqueName="36" name="product_cost" queryTableFieldId="36"/>
    <tableColumn id="37" xr3:uid="{18D23EFC-4981-4295-B336-E5C3DEE0A52B}" uniqueName="37" name="profit" queryTableFieldId="37"/>
    <tableColumn id="38" xr3:uid="{2780380A-029A-4073-BC40-D0E16270DB09}" uniqueName="38" name="profit_margin_percentage" queryTableFieldId="38"/>
    <tableColumn id="39" xr3:uid="{039BBA24-A1C7-4A1A-B86A-13C9E25A8895}" uniqueName="39" name="customer_lifetime_value" queryTableFieldId="39"/>
    <tableColumn id="40" xr3:uid="{3943506C-34DD-4B57-AA80-A5C645734A3C}" uniqueName="40" name="is_repeat_customer" queryTableFieldId="40"/>
    <tableColumn id="41" xr3:uid="{634CD165-B8AE-4DCE-A3F9-C4B047F0A1B4}" uniqueName="41" name="customer_order_count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E95E-065D-4155-A860-49330DD5922E}">
  <dimension ref="A1:AO290"/>
  <sheetViews>
    <sheetView tabSelected="1" workbookViewId="0">
      <selection activeCell="AI1" sqref="AI1"/>
    </sheetView>
  </sheetViews>
  <sheetFormatPr defaultRowHeight="14.5" x14ac:dyDescent="0.35"/>
  <cols>
    <col min="1" max="1" width="11.1796875" bestFit="1" customWidth="1"/>
    <col min="2" max="3" width="12.54296875" bestFit="1" customWidth="1"/>
    <col min="4" max="4" width="13.90625" bestFit="1" customWidth="1"/>
    <col min="5" max="5" width="14.7265625" bestFit="1" customWidth="1"/>
    <col min="6" max="6" width="13.54296875" bestFit="1" customWidth="1"/>
    <col min="7" max="7" width="20.36328125" bestFit="1" customWidth="1"/>
    <col min="8" max="8" width="14.90625" bestFit="1" customWidth="1"/>
    <col min="9" max="9" width="10.1796875" bestFit="1" customWidth="1"/>
    <col min="10" max="10" width="19.36328125" bestFit="1" customWidth="1"/>
    <col min="11" max="11" width="15.81640625" bestFit="1" customWidth="1"/>
    <col min="12" max="12" width="21.08984375" bestFit="1" customWidth="1"/>
    <col min="13" max="13" width="18.1796875" bestFit="1" customWidth="1"/>
    <col min="14" max="14" width="18.54296875" bestFit="1" customWidth="1"/>
    <col min="15" max="15" width="8.36328125" bestFit="1" customWidth="1"/>
    <col min="16" max="16" width="22.36328125" bestFit="1" customWidth="1"/>
    <col min="17" max="17" width="18.26953125" bestFit="1" customWidth="1"/>
    <col min="18" max="18" width="16.81640625" bestFit="1" customWidth="1"/>
    <col min="19" max="19" width="10.26953125" bestFit="1" customWidth="1"/>
    <col min="20" max="20" width="17.81640625" bestFit="1" customWidth="1"/>
    <col min="21" max="21" width="12.36328125" bestFit="1" customWidth="1"/>
    <col min="22" max="22" width="15.90625" bestFit="1" customWidth="1"/>
    <col min="23" max="23" width="14.6328125" bestFit="1" customWidth="1"/>
    <col min="24" max="24" width="21.26953125" bestFit="1" customWidth="1"/>
    <col min="25" max="25" width="19.36328125" bestFit="1" customWidth="1"/>
    <col min="26" max="26" width="17.54296875" bestFit="1" customWidth="1"/>
    <col min="27" max="27" width="14.36328125" bestFit="1" customWidth="1"/>
    <col min="28" max="28" width="22" bestFit="1" customWidth="1"/>
    <col min="29" max="29" width="24.7265625" bestFit="1" customWidth="1"/>
    <col min="30" max="30" width="10.1796875" bestFit="1" customWidth="1"/>
    <col min="31" max="31" width="12.54296875" bestFit="1" customWidth="1"/>
    <col min="32" max="32" width="18" bestFit="1" customWidth="1"/>
    <col min="33" max="33" width="13.36328125" bestFit="1" customWidth="1"/>
    <col min="34" max="34" width="14.54296875" bestFit="1" customWidth="1"/>
    <col min="35" max="35" width="11" bestFit="1" customWidth="1"/>
    <col min="36" max="36" width="14.1796875" bestFit="1" customWidth="1"/>
    <col min="37" max="37" width="7.81640625" bestFit="1" customWidth="1"/>
    <col min="38" max="38" width="25.26953125" bestFit="1" customWidth="1"/>
    <col min="39" max="39" width="24.08984375" bestFit="1" customWidth="1"/>
    <col min="40" max="40" width="20" bestFit="1" customWidth="1"/>
    <col min="41" max="41" width="22.6328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101</v>
      </c>
      <c r="B2" s="1">
        <v>44197</v>
      </c>
      <c r="C2" s="2">
        <v>0.32938657407407407</v>
      </c>
      <c r="D2" t="s">
        <v>41</v>
      </c>
      <c r="E2" t="s">
        <v>42</v>
      </c>
      <c r="F2" t="s">
        <v>102</v>
      </c>
      <c r="G2" t="s">
        <v>103</v>
      </c>
      <c r="H2">
        <v>18</v>
      </c>
      <c r="I2" t="s">
        <v>43</v>
      </c>
      <c r="J2" t="s">
        <v>88</v>
      </c>
      <c r="K2" t="s">
        <v>45</v>
      </c>
      <c r="L2" t="s">
        <v>104</v>
      </c>
      <c r="M2" t="s">
        <v>105</v>
      </c>
      <c r="N2" t="s">
        <v>47</v>
      </c>
      <c r="O2" t="s">
        <v>106</v>
      </c>
      <c r="P2">
        <v>64650</v>
      </c>
      <c r="Q2" t="s">
        <v>107</v>
      </c>
      <c r="R2" t="s">
        <v>50</v>
      </c>
      <c r="S2" t="s">
        <v>51</v>
      </c>
      <c r="T2" t="s">
        <v>71</v>
      </c>
      <c r="U2" t="s">
        <v>92</v>
      </c>
      <c r="V2" t="s">
        <v>54</v>
      </c>
      <c r="W2" t="s">
        <v>41</v>
      </c>
      <c r="X2" t="s">
        <v>98</v>
      </c>
      <c r="Y2" t="s">
        <v>108</v>
      </c>
      <c r="Z2" t="s">
        <v>109</v>
      </c>
      <c r="AA2" t="s">
        <v>110</v>
      </c>
      <c r="AB2">
        <v>0</v>
      </c>
      <c r="AC2">
        <v>0</v>
      </c>
      <c r="AD2">
        <v>5</v>
      </c>
      <c r="AE2">
        <v>2927.1</v>
      </c>
      <c r="AF2">
        <v>0</v>
      </c>
      <c r="AG2">
        <v>204.89</v>
      </c>
      <c r="AH2">
        <v>7.06</v>
      </c>
      <c r="AI2">
        <v>3139.05</v>
      </c>
      <c r="AJ2">
        <v>1216.51</v>
      </c>
      <c r="AK2">
        <v>1915.48</v>
      </c>
      <c r="AL2">
        <v>61.02</v>
      </c>
      <c r="AM2">
        <v>5038.97</v>
      </c>
      <c r="AN2" t="b">
        <v>1</v>
      </c>
      <c r="AO2">
        <v>5</v>
      </c>
    </row>
    <row r="3" spans="1:41" x14ac:dyDescent="0.35">
      <c r="A3" t="s">
        <v>126</v>
      </c>
      <c r="B3" s="1">
        <v>45386</v>
      </c>
      <c r="C3" s="2">
        <v>0.37542824074074072</v>
      </c>
      <c r="D3" t="s">
        <v>41</v>
      </c>
      <c r="E3" t="s">
        <v>42</v>
      </c>
      <c r="F3" t="s">
        <v>127</v>
      </c>
      <c r="G3" t="s">
        <v>128</v>
      </c>
      <c r="H3">
        <v>68</v>
      </c>
      <c r="I3" t="s">
        <v>43</v>
      </c>
      <c r="J3" t="s">
        <v>88</v>
      </c>
      <c r="K3" t="s">
        <v>45</v>
      </c>
      <c r="L3" t="s">
        <v>129</v>
      </c>
      <c r="M3" t="s">
        <v>130</v>
      </c>
      <c r="N3" t="s">
        <v>47</v>
      </c>
      <c r="O3" t="s">
        <v>70</v>
      </c>
      <c r="P3">
        <v>74533</v>
      </c>
      <c r="Q3" t="s">
        <v>49</v>
      </c>
      <c r="R3" t="s">
        <v>50</v>
      </c>
      <c r="S3" t="s">
        <v>51</v>
      </c>
      <c r="T3" t="s">
        <v>65</v>
      </c>
      <c r="U3" t="s">
        <v>53</v>
      </c>
      <c r="V3" t="s">
        <v>54</v>
      </c>
      <c r="W3" t="s">
        <v>41</v>
      </c>
      <c r="X3" t="s">
        <v>55</v>
      </c>
      <c r="Y3" t="s">
        <v>131</v>
      </c>
      <c r="Z3" t="s">
        <v>132</v>
      </c>
      <c r="AA3" t="s">
        <v>110</v>
      </c>
      <c r="AB3">
        <v>0</v>
      </c>
      <c r="AC3">
        <v>0</v>
      </c>
      <c r="AD3">
        <v>9</v>
      </c>
      <c r="AE3">
        <v>1843.27</v>
      </c>
      <c r="AF3">
        <v>0</v>
      </c>
      <c r="AG3">
        <v>129.03</v>
      </c>
      <c r="AH3">
        <v>32.11</v>
      </c>
      <c r="AI3">
        <v>2004.41</v>
      </c>
      <c r="AJ3">
        <v>856.34</v>
      </c>
      <c r="AK3">
        <v>1115.96</v>
      </c>
      <c r="AL3">
        <v>55.68</v>
      </c>
      <c r="AM3">
        <v>11360.09</v>
      </c>
      <c r="AN3" t="b">
        <v>1</v>
      </c>
      <c r="AO3">
        <v>6</v>
      </c>
    </row>
    <row r="4" spans="1:41" x14ac:dyDescent="0.35">
      <c r="A4" t="s">
        <v>133</v>
      </c>
      <c r="B4" s="1">
        <v>44754</v>
      </c>
      <c r="C4" s="2">
        <v>0.46649305555555554</v>
      </c>
      <c r="D4" t="s">
        <v>41</v>
      </c>
      <c r="E4" t="s">
        <v>77</v>
      </c>
      <c r="F4" t="s">
        <v>134</v>
      </c>
      <c r="G4" t="s">
        <v>135</v>
      </c>
      <c r="H4">
        <v>31</v>
      </c>
      <c r="I4" t="s">
        <v>78</v>
      </c>
      <c r="J4" t="s">
        <v>88</v>
      </c>
      <c r="K4" t="s">
        <v>45</v>
      </c>
      <c r="L4" t="s">
        <v>136</v>
      </c>
      <c r="M4" t="s">
        <v>105</v>
      </c>
      <c r="N4" t="s">
        <v>47</v>
      </c>
      <c r="O4" t="s">
        <v>106</v>
      </c>
      <c r="P4">
        <v>33628</v>
      </c>
      <c r="Q4" t="s">
        <v>137</v>
      </c>
      <c r="R4" t="s">
        <v>50</v>
      </c>
      <c r="S4" t="s">
        <v>51</v>
      </c>
      <c r="T4" t="s">
        <v>65</v>
      </c>
      <c r="U4" t="s">
        <v>138</v>
      </c>
      <c r="V4" t="s">
        <v>54</v>
      </c>
      <c r="W4" t="s">
        <v>41</v>
      </c>
      <c r="X4" t="s">
        <v>73</v>
      </c>
      <c r="Y4" t="s">
        <v>74</v>
      </c>
      <c r="Z4" t="s">
        <v>139</v>
      </c>
      <c r="AA4" t="s">
        <v>140</v>
      </c>
      <c r="AB4">
        <v>0</v>
      </c>
      <c r="AC4">
        <v>0</v>
      </c>
      <c r="AD4">
        <v>8</v>
      </c>
      <c r="AE4">
        <v>736.79</v>
      </c>
      <c r="AF4">
        <v>0</v>
      </c>
      <c r="AG4">
        <v>51.58</v>
      </c>
      <c r="AH4">
        <v>36.67</v>
      </c>
      <c r="AI4">
        <v>825.04</v>
      </c>
      <c r="AJ4">
        <v>337.2</v>
      </c>
      <c r="AK4">
        <v>451.17</v>
      </c>
      <c r="AL4">
        <v>54.68</v>
      </c>
      <c r="AM4">
        <v>4507.8100000000004</v>
      </c>
      <c r="AN4" t="b">
        <v>1</v>
      </c>
      <c r="AO4">
        <v>7</v>
      </c>
    </row>
    <row r="5" spans="1:41" x14ac:dyDescent="0.35">
      <c r="A5" t="s">
        <v>149</v>
      </c>
      <c r="B5" s="1">
        <v>45570</v>
      </c>
      <c r="C5" s="2">
        <v>0.74631944444444442</v>
      </c>
      <c r="D5" t="s">
        <v>41</v>
      </c>
      <c r="E5" t="s">
        <v>111</v>
      </c>
      <c r="F5" t="s">
        <v>150</v>
      </c>
      <c r="G5" t="s">
        <v>151</v>
      </c>
      <c r="H5">
        <v>20</v>
      </c>
      <c r="I5" t="s">
        <v>43</v>
      </c>
      <c r="J5" t="s">
        <v>88</v>
      </c>
      <c r="K5" t="s">
        <v>152</v>
      </c>
      <c r="L5" t="s">
        <v>153</v>
      </c>
      <c r="M5" t="s">
        <v>154</v>
      </c>
      <c r="N5" t="s">
        <v>47</v>
      </c>
      <c r="O5" t="s">
        <v>48</v>
      </c>
      <c r="P5">
        <v>88179</v>
      </c>
      <c r="Q5" t="s">
        <v>96</v>
      </c>
      <c r="R5" t="s">
        <v>50</v>
      </c>
      <c r="S5" t="s">
        <v>51</v>
      </c>
      <c r="T5" t="s">
        <v>65</v>
      </c>
      <c r="U5" t="s">
        <v>155</v>
      </c>
      <c r="V5" t="s">
        <v>54</v>
      </c>
      <c r="W5" t="s">
        <v>41</v>
      </c>
      <c r="X5" t="s">
        <v>156</v>
      </c>
      <c r="Y5" t="s">
        <v>108</v>
      </c>
      <c r="Z5" t="s">
        <v>157</v>
      </c>
      <c r="AA5" t="s">
        <v>158</v>
      </c>
      <c r="AB5">
        <v>0</v>
      </c>
      <c r="AC5">
        <v>0</v>
      </c>
      <c r="AD5">
        <v>7</v>
      </c>
      <c r="AE5">
        <v>683.24</v>
      </c>
      <c r="AF5">
        <v>0</v>
      </c>
      <c r="AG5">
        <v>47.82</v>
      </c>
      <c r="AH5">
        <v>28.13</v>
      </c>
      <c r="AI5">
        <v>759.19</v>
      </c>
      <c r="AJ5">
        <v>328.62</v>
      </c>
      <c r="AK5">
        <v>402.44</v>
      </c>
      <c r="AL5">
        <v>53.01</v>
      </c>
      <c r="AM5">
        <v>6327.22</v>
      </c>
      <c r="AN5" t="b">
        <v>1</v>
      </c>
      <c r="AO5">
        <v>3</v>
      </c>
    </row>
    <row r="6" spans="1:41" x14ac:dyDescent="0.35">
      <c r="A6" t="s">
        <v>168</v>
      </c>
      <c r="B6" s="1">
        <v>45779</v>
      </c>
      <c r="C6" s="2">
        <v>0.33994212962962961</v>
      </c>
      <c r="D6" t="s">
        <v>41</v>
      </c>
      <c r="E6" t="s">
        <v>42</v>
      </c>
      <c r="F6" t="s">
        <v>169</v>
      </c>
      <c r="G6" t="s">
        <v>170</v>
      </c>
      <c r="H6">
        <v>47</v>
      </c>
      <c r="I6" t="s">
        <v>78</v>
      </c>
      <c r="J6" t="s">
        <v>68</v>
      </c>
      <c r="K6" t="s">
        <v>45</v>
      </c>
      <c r="L6" t="s">
        <v>171</v>
      </c>
      <c r="M6" t="s">
        <v>148</v>
      </c>
      <c r="N6" t="s">
        <v>47</v>
      </c>
      <c r="O6" t="s">
        <v>70</v>
      </c>
      <c r="P6">
        <v>28756</v>
      </c>
      <c r="Q6" t="s">
        <v>49</v>
      </c>
      <c r="R6" t="s">
        <v>50</v>
      </c>
      <c r="S6" t="s">
        <v>51</v>
      </c>
      <c r="T6" t="s">
        <v>71</v>
      </c>
      <c r="U6" t="s">
        <v>145</v>
      </c>
      <c r="V6" t="s">
        <v>54</v>
      </c>
      <c r="W6" t="s">
        <v>41</v>
      </c>
      <c r="X6" t="s">
        <v>172</v>
      </c>
      <c r="Y6" t="s">
        <v>108</v>
      </c>
      <c r="Z6" t="s">
        <v>109</v>
      </c>
      <c r="AA6" t="s">
        <v>144</v>
      </c>
      <c r="AB6">
        <v>0</v>
      </c>
      <c r="AC6">
        <v>0</v>
      </c>
      <c r="AD6">
        <v>6</v>
      </c>
      <c r="AE6">
        <v>1930.52</v>
      </c>
      <c r="AF6">
        <v>0</v>
      </c>
      <c r="AG6">
        <v>135.13999999999999</v>
      </c>
      <c r="AH6">
        <v>0.9</v>
      </c>
      <c r="AI6">
        <v>2066.56</v>
      </c>
      <c r="AJ6">
        <v>1032.08</v>
      </c>
      <c r="AK6">
        <v>1033.58</v>
      </c>
      <c r="AL6">
        <v>50.01</v>
      </c>
      <c r="AM6">
        <v>10889.66</v>
      </c>
      <c r="AN6" t="b">
        <v>1</v>
      </c>
      <c r="AO6">
        <v>6</v>
      </c>
    </row>
    <row r="7" spans="1:41" x14ac:dyDescent="0.35">
      <c r="A7" t="s">
        <v>179</v>
      </c>
      <c r="B7" s="1">
        <v>45938</v>
      </c>
      <c r="C7" s="2">
        <v>0.92214120370370367</v>
      </c>
      <c r="D7" t="s">
        <v>41</v>
      </c>
      <c r="E7" t="s">
        <v>42</v>
      </c>
      <c r="F7" t="s">
        <v>180</v>
      </c>
      <c r="G7" t="s">
        <v>181</v>
      </c>
      <c r="H7">
        <v>19</v>
      </c>
      <c r="I7" t="s">
        <v>43</v>
      </c>
      <c r="J7" t="s">
        <v>68</v>
      </c>
      <c r="K7" t="s">
        <v>45</v>
      </c>
      <c r="L7" t="s">
        <v>182</v>
      </c>
      <c r="M7" t="s">
        <v>61</v>
      </c>
      <c r="N7" t="s">
        <v>62</v>
      </c>
      <c r="O7" t="s">
        <v>48</v>
      </c>
      <c r="P7">
        <v>76014</v>
      </c>
      <c r="Q7" t="s">
        <v>107</v>
      </c>
      <c r="R7" t="s">
        <v>50</v>
      </c>
      <c r="S7" t="s">
        <v>64</v>
      </c>
      <c r="T7" t="s">
        <v>65</v>
      </c>
      <c r="U7" t="s">
        <v>143</v>
      </c>
      <c r="V7" t="s">
        <v>54</v>
      </c>
      <c r="W7" t="s">
        <v>41</v>
      </c>
      <c r="X7" t="s">
        <v>55</v>
      </c>
      <c r="Y7" t="s">
        <v>108</v>
      </c>
      <c r="Z7" t="s">
        <v>109</v>
      </c>
      <c r="AA7" t="s">
        <v>125</v>
      </c>
      <c r="AB7">
        <v>0</v>
      </c>
      <c r="AC7">
        <v>0</v>
      </c>
      <c r="AD7">
        <v>7</v>
      </c>
      <c r="AE7">
        <v>1341.26</v>
      </c>
      <c r="AF7">
        <v>0</v>
      </c>
      <c r="AG7">
        <v>254.84</v>
      </c>
      <c r="AH7">
        <v>20.72</v>
      </c>
      <c r="AI7">
        <v>1616.82</v>
      </c>
      <c r="AJ7">
        <v>586.85</v>
      </c>
      <c r="AK7">
        <v>1009.25</v>
      </c>
      <c r="AL7">
        <v>62.42</v>
      </c>
      <c r="AM7">
        <v>6046.25</v>
      </c>
      <c r="AN7" t="b">
        <v>1</v>
      </c>
      <c r="AO7">
        <v>4</v>
      </c>
    </row>
    <row r="8" spans="1:41" x14ac:dyDescent="0.35">
      <c r="A8" t="s">
        <v>183</v>
      </c>
      <c r="B8" s="1">
        <v>45421</v>
      </c>
      <c r="C8" s="2">
        <v>0.64822916666666663</v>
      </c>
      <c r="D8" t="s">
        <v>41</v>
      </c>
      <c r="E8" t="s">
        <v>42</v>
      </c>
      <c r="F8" t="s">
        <v>184</v>
      </c>
      <c r="G8" t="s">
        <v>185</v>
      </c>
      <c r="H8">
        <v>58</v>
      </c>
      <c r="I8" t="s">
        <v>43</v>
      </c>
      <c r="J8" t="s">
        <v>68</v>
      </c>
      <c r="K8" t="s">
        <v>45</v>
      </c>
      <c r="L8" t="s">
        <v>186</v>
      </c>
      <c r="M8" t="s">
        <v>142</v>
      </c>
      <c r="N8" t="s">
        <v>47</v>
      </c>
      <c r="O8" t="s">
        <v>70</v>
      </c>
      <c r="P8">
        <v>53278</v>
      </c>
      <c r="Q8" t="s">
        <v>137</v>
      </c>
      <c r="R8" t="s">
        <v>50</v>
      </c>
      <c r="S8" t="s">
        <v>51</v>
      </c>
      <c r="T8" t="s">
        <v>82</v>
      </c>
      <c r="U8" t="s">
        <v>143</v>
      </c>
      <c r="V8" t="s">
        <v>54</v>
      </c>
      <c r="W8" t="s">
        <v>41</v>
      </c>
      <c r="X8" t="s">
        <v>84</v>
      </c>
      <c r="Y8" t="s">
        <v>131</v>
      </c>
      <c r="Z8" t="s">
        <v>132</v>
      </c>
      <c r="AA8" t="s">
        <v>67</v>
      </c>
      <c r="AB8">
        <v>0</v>
      </c>
      <c r="AC8">
        <v>0</v>
      </c>
      <c r="AD8">
        <v>6</v>
      </c>
      <c r="AE8">
        <v>2233.46</v>
      </c>
      <c r="AF8">
        <v>0</v>
      </c>
      <c r="AG8">
        <v>156.35</v>
      </c>
      <c r="AH8">
        <v>32.64</v>
      </c>
      <c r="AI8">
        <v>2422.4499999999998</v>
      </c>
      <c r="AJ8">
        <v>1301.9100000000001</v>
      </c>
      <c r="AK8">
        <v>1087.9000000000001</v>
      </c>
      <c r="AL8">
        <v>44.91</v>
      </c>
      <c r="AM8">
        <v>6084.82</v>
      </c>
      <c r="AN8" t="b">
        <v>1</v>
      </c>
      <c r="AO8">
        <v>5</v>
      </c>
    </row>
    <row r="9" spans="1:41" x14ac:dyDescent="0.35">
      <c r="A9" t="s">
        <v>187</v>
      </c>
      <c r="B9" s="1">
        <v>44779</v>
      </c>
      <c r="C9" s="2">
        <v>0.20077546296296298</v>
      </c>
      <c r="D9" t="s">
        <v>41</v>
      </c>
      <c r="E9" t="s">
        <v>77</v>
      </c>
      <c r="F9" t="s">
        <v>188</v>
      </c>
      <c r="G9" t="s">
        <v>189</v>
      </c>
      <c r="H9">
        <v>33</v>
      </c>
      <c r="I9" t="s">
        <v>43</v>
      </c>
      <c r="J9" t="s">
        <v>88</v>
      </c>
      <c r="K9" t="s">
        <v>45</v>
      </c>
      <c r="L9" t="s">
        <v>190</v>
      </c>
      <c r="M9" t="s">
        <v>154</v>
      </c>
      <c r="N9" t="s">
        <v>47</v>
      </c>
      <c r="O9" t="s">
        <v>48</v>
      </c>
      <c r="P9">
        <v>52857</v>
      </c>
      <c r="Q9" t="s">
        <v>49</v>
      </c>
      <c r="R9" t="s">
        <v>50</v>
      </c>
      <c r="S9" t="s">
        <v>51</v>
      </c>
      <c r="T9" t="s">
        <v>52</v>
      </c>
      <c r="U9" t="s">
        <v>155</v>
      </c>
      <c r="V9" t="s">
        <v>54</v>
      </c>
      <c r="W9" t="s">
        <v>41</v>
      </c>
      <c r="X9" t="s">
        <v>156</v>
      </c>
      <c r="Y9" t="s">
        <v>131</v>
      </c>
      <c r="Z9" t="s">
        <v>177</v>
      </c>
      <c r="AA9" t="s">
        <v>100</v>
      </c>
      <c r="AB9">
        <v>0</v>
      </c>
      <c r="AC9">
        <v>0</v>
      </c>
      <c r="AD9">
        <v>6</v>
      </c>
      <c r="AE9">
        <v>529.91999999999996</v>
      </c>
      <c r="AF9">
        <v>0</v>
      </c>
      <c r="AG9">
        <v>37.090000000000003</v>
      </c>
      <c r="AH9">
        <v>12.01</v>
      </c>
      <c r="AI9">
        <v>579.02</v>
      </c>
      <c r="AJ9">
        <v>222.18</v>
      </c>
      <c r="AK9">
        <v>344.83</v>
      </c>
      <c r="AL9">
        <v>59.55</v>
      </c>
      <c r="AM9">
        <v>7677.95</v>
      </c>
      <c r="AN9" t="b">
        <v>1</v>
      </c>
      <c r="AO9">
        <v>8</v>
      </c>
    </row>
    <row r="10" spans="1:41" x14ac:dyDescent="0.35">
      <c r="A10" t="s">
        <v>194</v>
      </c>
      <c r="B10" s="1">
        <v>44903</v>
      </c>
      <c r="C10" s="2">
        <v>0.44741898148148146</v>
      </c>
      <c r="D10" t="s">
        <v>41</v>
      </c>
      <c r="E10" t="s">
        <v>42</v>
      </c>
      <c r="F10" t="s">
        <v>195</v>
      </c>
      <c r="G10" t="s">
        <v>196</v>
      </c>
      <c r="H10">
        <v>62</v>
      </c>
      <c r="I10" t="s">
        <v>43</v>
      </c>
      <c r="J10" t="s">
        <v>68</v>
      </c>
      <c r="K10" t="s">
        <v>45</v>
      </c>
      <c r="L10" t="s">
        <v>197</v>
      </c>
      <c r="M10" t="s">
        <v>198</v>
      </c>
      <c r="N10" t="s">
        <v>47</v>
      </c>
      <c r="O10" t="s">
        <v>70</v>
      </c>
      <c r="P10">
        <v>80895</v>
      </c>
      <c r="Q10" t="s">
        <v>81</v>
      </c>
      <c r="R10" t="s">
        <v>50</v>
      </c>
      <c r="S10" t="s">
        <v>51</v>
      </c>
      <c r="T10" t="s">
        <v>52</v>
      </c>
      <c r="U10" t="s">
        <v>72</v>
      </c>
      <c r="V10" t="s">
        <v>54</v>
      </c>
      <c r="W10" t="s">
        <v>41</v>
      </c>
      <c r="X10" t="s">
        <v>73</v>
      </c>
      <c r="Y10" t="s">
        <v>131</v>
      </c>
      <c r="Z10" t="s">
        <v>132</v>
      </c>
      <c r="AA10" t="s">
        <v>144</v>
      </c>
      <c r="AB10">
        <v>0</v>
      </c>
      <c r="AC10">
        <v>0</v>
      </c>
      <c r="AD10">
        <v>3</v>
      </c>
      <c r="AE10">
        <v>1102.05</v>
      </c>
      <c r="AF10">
        <v>0</v>
      </c>
      <c r="AG10">
        <v>77.14</v>
      </c>
      <c r="AH10">
        <v>3.48</v>
      </c>
      <c r="AI10">
        <v>1182.67</v>
      </c>
      <c r="AJ10">
        <v>683.07</v>
      </c>
      <c r="AK10">
        <v>496.12</v>
      </c>
      <c r="AL10">
        <v>41.95</v>
      </c>
      <c r="AM10">
        <v>4548.2</v>
      </c>
      <c r="AN10" t="b">
        <v>1</v>
      </c>
      <c r="AO10">
        <v>5</v>
      </c>
    </row>
    <row r="11" spans="1:41" x14ac:dyDescent="0.35">
      <c r="A11" t="s">
        <v>199</v>
      </c>
      <c r="B11" s="1">
        <v>45480</v>
      </c>
      <c r="C11" s="2">
        <v>0.14395833333333333</v>
      </c>
      <c r="D11" t="s">
        <v>41</v>
      </c>
      <c r="E11" t="s">
        <v>42</v>
      </c>
      <c r="F11" t="s">
        <v>200</v>
      </c>
      <c r="G11" t="s">
        <v>201</v>
      </c>
      <c r="H11">
        <v>39</v>
      </c>
      <c r="I11" t="s">
        <v>43</v>
      </c>
      <c r="J11" t="s">
        <v>68</v>
      </c>
      <c r="K11" t="s">
        <v>45</v>
      </c>
      <c r="L11" t="s">
        <v>202</v>
      </c>
      <c r="M11" t="s">
        <v>105</v>
      </c>
      <c r="N11" t="s">
        <v>47</v>
      </c>
      <c r="O11" t="s">
        <v>106</v>
      </c>
      <c r="P11">
        <v>21942</v>
      </c>
      <c r="Q11" t="s">
        <v>113</v>
      </c>
      <c r="R11" t="s">
        <v>50</v>
      </c>
      <c r="S11" t="s">
        <v>51</v>
      </c>
      <c r="T11" t="s">
        <v>52</v>
      </c>
      <c r="U11" t="s">
        <v>120</v>
      </c>
      <c r="V11" t="s">
        <v>54</v>
      </c>
      <c r="W11" t="s">
        <v>41</v>
      </c>
      <c r="X11" t="s">
        <v>172</v>
      </c>
      <c r="Y11" t="s">
        <v>56</v>
      </c>
      <c r="Z11" t="s">
        <v>57</v>
      </c>
      <c r="AA11" t="s">
        <v>203</v>
      </c>
      <c r="AB11">
        <v>0</v>
      </c>
      <c r="AC11">
        <v>0</v>
      </c>
      <c r="AD11">
        <v>1</v>
      </c>
      <c r="AE11">
        <v>262.5</v>
      </c>
      <c r="AF11">
        <v>0</v>
      </c>
      <c r="AG11">
        <v>18.38</v>
      </c>
      <c r="AH11">
        <v>3.03</v>
      </c>
      <c r="AI11">
        <v>283.91000000000003</v>
      </c>
      <c r="AJ11">
        <v>82.31</v>
      </c>
      <c r="AK11">
        <v>198.57</v>
      </c>
      <c r="AL11">
        <v>69.94</v>
      </c>
      <c r="AM11">
        <v>7406.16</v>
      </c>
      <c r="AN11" t="b">
        <v>1</v>
      </c>
      <c r="AO11">
        <v>10</v>
      </c>
    </row>
    <row r="12" spans="1:41" x14ac:dyDescent="0.35">
      <c r="A12" t="s">
        <v>207</v>
      </c>
      <c r="B12" s="1">
        <v>44353</v>
      </c>
      <c r="C12" s="2">
        <v>0.71212962962962967</v>
      </c>
      <c r="D12" t="s">
        <v>41</v>
      </c>
      <c r="E12" t="s">
        <v>77</v>
      </c>
      <c r="F12" t="s">
        <v>208</v>
      </c>
      <c r="G12" t="s">
        <v>209</v>
      </c>
      <c r="H12">
        <v>40</v>
      </c>
      <c r="I12" t="s">
        <v>173</v>
      </c>
      <c r="J12" t="s">
        <v>44</v>
      </c>
      <c r="K12" t="s">
        <v>45</v>
      </c>
      <c r="L12" t="s">
        <v>210</v>
      </c>
      <c r="M12" t="s">
        <v>198</v>
      </c>
      <c r="N12" t="s">
        <v>47</v>
      </c>
      <c r="O12" t="s">
        <v>70</v>
      </c>
      <c r="P12">
        <v>66726</v>
      </c>
      <c r="Q12" t="s">
        <v>137</v>
      </c>
      <c r="R12" t="s">
        <v>50</v>
      </c>
      <c r="S12" t="s">
        <v>51</v>
      </c>
      <c r="T12" t="s">
        <v>52</v>
      </c>
      <c r="U12" t="s">
        <v>211</v>
      </c>
      <c r="V12" t="s">
        <v>54</v>
      </c>
      <c r="W12" t="s">
        <v>41</v>
      </c>
      <c r="X12" t="s">
        <v>176</v>
      </c>
      <c r="Y12" t="s">
        <v>56</v>
      </c>
      <c r="Z12" t="s">
        <v>57</v>
      </c>
      <c r="AA12" t="s">
        <v>203</v>
      </c>
      <c r="AB12">
        <v>0</v>
      </c>
      <c r="AC12">
        <v>0</v>
      </c>
      <c r="AD12">
        <v>9</v>
      </c>
      <c r="AE12">
        <v>2842.11</v>
      </c>
      <c r="AF12">
        <v>0</v>
      </c>
      <c r="AG12">
        <v>198.95</v>
      </c>
      <c r="AH12">
        <v>7.07</v>
      </c>
      <c r="AI12">
        <v>3048.13</v>
      </c>
      <c r="AJ12">
        <v>1530.32</v>
      </c>
      <c r="AK12">
        <v>1510.74</v>
      </c>
      <c r="AL12">
        <v>49.56</v>
      </c>
      <c r="AM12">
        <v>14571.03</v>
      </c>
      <c r="AN12" t="b">
        <v>1</v>
      </c>
      <c r="AO12">
        <v>11</v>
      </c>
    </row>
    <row r="13" spans="1:41" x14ac:dyDescent="0.35">
      <c r="A13" t="s">
        <v>215</v>
      </c>
      <c r="B13" s="1">
        <v>45633</v>
      </c>
      <c r="C13" s="2">
        <v>0.91730324074074077</v>
      </c>
      <c r="D13" t="s">
        <v>41</v>
      </c>
      <c r="E13" t="s">
        <v>42</v>
      </c>
      <c r="F13" t="s">
        <v>216</v>
      </c>
      <c r="G13" t="s">
        <v>217</v>
      </c>
      <c r="H13">
        <v>55</v>
      </c>
      <c r="I13" t="s">
        <v>78</v>
      </c>
      <c r="J13" t="s">
        <v>88</v>
      </c>
      <c r="K13" t="s">
        <v>45</v>
      </c>
      <c r="L13" t="s">
        <v>218</v>
      </c>
      <c r="M13" t="s">
        <v>219</v>
      </c>
      <c r="N13" t="s">
        <v>117</v>
      </c>
      <c r="O13" t="s">
        <v>80</v>
      </c>
      <c r="P13">
        <v>22768</v>
      </c>
      <c r="Q13" t="s">
        <v>49</v>
      </c>
      <c r="R13" t="s">
        <v>50</v>
      </c>
      <c r="S13" t="s">
        <v>119</v>
      </c>
      <c r="T13" t="s">
        <v>82</v>
      </c>
      <c r="U13" t="s">
        <v>138</v>
      </c>
      <c r="V13" t="s">
        <v>54</v>
      </c>
      <c r="W13" t="s">
        <v>41</v>
      </c>
      <c r="X13" t="s">
        <v>73</v>
      </c>
      <c r="Y13" t="s">
        <v>99</v>
      </c>
      <c r="Z13" t="s">
        <v>57</v>
      </c>
      <c r="AA13" t="s">
        <v>220</v>
      </c>
      <c r="AB13">
        <v>0</v>
      </c>
      <c r="AC13">
        <v>0</v>
      </c>
      <c r="AD13">
        <v>4</v>
      </c>
      <c r="AE13">
        <v>469.93</v>
      </c>
      <c r="AF13">
        <v>0</v>
      </c>
      <c r="AG13">
        <v>46.99</v>
      </c>
      <c r="AH13">
        <v>53.81</v>
      </c>
      <c r="AI13">
        <v>570.73</v>
      </c>
      <c r="AJ13">
        <v>196.13</v>
      </c>
      <c r="AK13">
        <v>320.79000000000002</v>
      </c>
      <c r="AL13">
        <v>56.21</v>
      </c>
      <c r="AM13">
        <v>5511.83</v>
      </c>
      <c r="AN13" t="b">
        <v>1</v>
      </c>
      <c r="AO13">
        <v>5</v>
      </c>
    </row>
    <row r="14" spans="1:41" x14ac:dyDescent="0.35">
      <c r="A14" t="s">
        <v>223</v>
      </c>
      <c r="B14" s="1">
        <v>44290</v>
      </c>
      <c r="C14" s="2">
        <v>0.88170138888888894</v>
      </c>
      <c r="D14" t="s">
        <v>41</v>
      </c>
      <c r="E14" t="s">
        <v>42</v>
      </c>
      <c r="F14" t="s">
        <v>224</v>
      </c>
      <c r="G14" t="s">
        <v>225</v>
      </c>
      <c r="H14">
        <v>36</v>
      </c>
      <c r="I14" t="s">
        <v>78</v>
      </c>
      <c r="J14" t="s">
        <v>68</v>
      </c>
      <c r="K14" t="s">
        <v>45</v>
      </c>
      <c r="L14" t="s">
        <v>226</v>
      </c>
      <c r="M14" t="s">
        <v>79</v>
      </c>
      <c r="N14" t="s">
        <v>47</v>
      </c>
      <c r="O14" t="s">
        <v>80</v>
      </c>
      <c r="P14">
        <v>80074</v>
      </c>
      <c r="Q14" t="s">
        <v>113</v>
      </c>
      <c r="R14" t="s">
        <v>50</v>
      </c>
      <c r="S14" t="s">
        <v>51</v>
      </c>
      <c r="T14" t="s">
        <v>71</v>
      </c>
      <c r="U14" t="s">
        <v>175</v>
      </c>
      <c r="V14" t="s">
        <v>54</v>
      </c>
      <c r="W14" t="s">
        <v>41</v>
      </c>
      <c r="X14" t="s">
        <v>73</v>
      </c>
      <c r="Y14" t="s">
        <v>131</v>
      </c>
      <c r="Z14" t="s">
        <v>227</v>
      </c>
      <c r="AA14" t="s">
        <v>192</v>
      </c>
      <c r="AB14">
        <v>0</v>
      </c>
      <c r="AC14">
        <v>0</v>
      </c>
      <c r="AD14">
        <v>8</v>
      </c>
      <c r="AE14">
        <v>3376.42</v>
      </c>
      <c r="AF14">
        <v>0</v>
      </c>
      <c r="AG14">
        <v>236.35</v>
      </c>
      <c r="AH14">
        <v>7.53</v>
      </c>
      <c r="AI14">
        <v>3620.3</v>
      </c>
      <c r="AJ14">
        <v>1681.78</v>
      </c>
      <c r="AK14">
        <v>1930.99</v>
      </c>
      <c r="AL14">
        <v>53.34</v>
      </c>
      <c r="AM14">
        <v>14983.16</v>
      </c>
      <c r="AN14" t="b">
        <v>1</v>
      </c>
      <c r="AO14">
        <v>10</v>
      </c>
    </row>
    <row r="15" spans="1:41" x14ac:dyDescent="0.35">
      <c r="A15" t="s">
        <v>229</v>
      </c>
      <c r="B15" s="1">
        <v>44782</v>
      </c>
      <c r="C15" s="2">
        <v>0.8805439814814815</v>
      </c>
      <c r="D15" t="s">
        <v>41</v>
      </c>
      <c r="E15" t="s">
        <v>77</v>
      </c>
      <c r="F15" t="s">
        <v>230</v>
      </c>
      <c r="G15" t="s">
        <v>231</v>
      </c>
      <c r="H15">
        <v>50</v>
      </c>
      <c r="I15" t="s">
        <v>78</v>
      </c>
      <c r="J15" t="s">
        <v>88</v>
      </c>
      <c r="K15" t="s">
        <v>45</v>
      </c>
      <c r="L15" t="s">
        <v>232</v>
      </c>
      <c r="M15" t="s">
        <v>233</v>
      </c>
      <c r="N15" t="s">
        <v>62</v>
      </c>
      <c r="O15" t="s">
        <v>70</v>
      </c>
      <c r="P15">
        <v>2951</v>
      </c>
      <c r="Q15" t="s">
        <v>49</v>
      </c>
      <c r="R15" t="s">
        <v>50</v>
      </c>
      <c r="S15" t="s">
        <v>64</v>
      </c>
      <c r="T15" t="s">
        <v>52</v>
      </c>
      <c r="U15" t="s">
        <v>163</v>
      </c>
      <c r="V15" t="s">
        <v>54</v>
      </c>
      <c r="W15" t="s">
        <v>41</v>
      </c>
      <c r="X15" t="s">
        <v>98</v>
      </c>
      <c r="Y15" t="s">
        <v>131</v>
      </c>
      <c r="Z15" t="s">
        <v>132</v>
      </c>
      <c r="AA15" t="s">
        <v>147</v>
      </c>
      <c r="AB15">
        <v>0</v>
      </c>
      <c r="AC15">
        <v>0</v>
      </c>
      <c r="AD15">
        <v>7</v>
      </c>
      <c r="AE15">
        <v>1336.54</v>
      </c>
      <c r="AF15">
        <v>0</v>
      </c>
      <c r="AG15">
        <v>253.94</v>
      </c>
      <c r="AH15">
        <v>35.700000000000003</v>
      </c>
      <c r="AI15">
        <v>1626.18</v>
      </c>
      <c r="AJ15">
        <v>654.01</v>
      </c>
      <c r="AK15">
        <v>936.47</v>
      </c>
      <c r="AL15">
        <v>57.59</v>
      </c>
      <c r="AM15">
        <v>10843.98</v>
      </c>
      <c r="AN15" t="b">
        <v>1</v>
      </c>
      <c r="AO15">
        <v>9</v>
      </c>
    </row>
    <row r="16" spans="1:41" x14ac:dyDescent="0.35">
      <c r="A16" t="s">
        <v>234</v>
      </c>
      <c r="B16" s="1">
        <v>44327</v>
      </c>
      <c r="C16" s="2">
        <v>0.56898148148148153</v>
      </c>
      <c r="D16" t="s">
        <v>41</v>
      </c>
      <c r="E16" t="s">
        <v>77</v>
      </c>
      <c r="F16" t="s">
        <v>235</v>
      </c>
      <c r="G16" t="s">
        <v>236</v>
      </c>
      <c r="H16">
        <v>20</v>
      </c>
      <c r="I16" t="s">
        <v>43</v>
      </c>
      <c r="J16" t="s">
        <v>60</v>
      </c>
      <c r="K16" t="s">
        <v>45</v>
      </c>
      <c r="L16" t="s">
        <v>237</v>
      </c>
      <c r="M16" t="s">
        <v>130</v>
      </c>
      <c r="N16" t="s">
        <v>47</v>
      </c>
      <c r="O16" t="s">
        <v>70</v>
      </c>
      <c r="P16">
        <v>44361</v>
      </c>
      <c r="Q16" t="s">
        <v>49</v>
      </c>
      <c r="R16" t="s">
        <v>50</v>
      </c>
      <c r="S16" t="s">
        <v>51</v>
      </c>
      <c r="T16" t="s">
        <v>65</v>
      </c>
      <c r="U16" t="s">
        <v>97</v>
      </c>
      <c r="V16" t="s">
        <v>54</v>
      </c>
      <c r="W16" t="s">
        <v>41</v>
      </c>
      <c r="X16" t="s">
        <v>172</v>
      </c>
      <c r="Y16" t="s">
        <v>56</v>
      </c>
      <c r="Z16" t="s">
        <v>57</v>
      </c>
      <c r="AA16" t="s">
        <v>238</v>
      </c>
      <c r="AB16">
        <v>0</v>
      </c>
      <c r="AC16">
        <v>0</v>
      </c>
      <c r="AD16">
        <v>6</v>
      </c>
      <c r="AE16">
        <v>958.7</v>
      </c>
      <c r="AF16">
        <v>0</v>
      </c>
      <c r="AG16">
        <v>67.099999999999994</v>
      </c>
      <c r="AH16">
        <v>20.47</v>
      </c>
      <c r="AI16">
        <v>1046.27</v>
      </c>
      <c r="AJ16">
        <v>446.32</v>
      </c>
      <c r="AK16">
        <v>579.48</v>
      </c>
      <c r="AL16">
        <v>55.39</v>
      </c>
      <c r="AM16">
        <v>6170.81</v>
      </c>
      <c r="AN16" t="b">
        <v>1</v>
      </c>
      <c r="AO16">
        <v>5</v>
      </c>
    </row>
    <row r="17" spans="1:41" x14ac:dyDescent="0.35">
      <c r="A17" t="s">
        <v>239</v>
      </c>
      <c r="B17" s="1">
        <v>45241</v>
      </c>
      <c r="C17" s="2">
        <v>0.5166898148148148</v>
      </c>
      <c r="D17" t="s">
        <v>41</v>
      </c>
      <c r="E17" t="s">
        <v>77</v>
      </c>
      <c r="F17" t="s">
        <v>240</v>
      </c>
      <c r="G17" t="s">
        <v>241</v>
      </c>
      <c r="H17">
        <v>61</v>
      </c>
      <c r="I17" t="s">
        <v>78</v>
      </c>
      <c r="J17" t="s">
        <v>68</v>
      </c>
      <c r="K17" t="s">
        <v>45</v>
      </c>
      <c r="L17" t="s">
        <v>242</v>
      </c>
      <c r="M17" t="s">
        <v>112</v>
      </c>
      <c r="N17" t="s">
        <v>47</v>
      </c>
      <c r="O17" t="s">
        <v>48</v>
      </c>
      <c r="P17">
        <v>42752</v>
      </c>
      <c r="Q17" t="s">
        <v>81</v>
      </c>
      <c r="R17" t="s">
        <v>50</v>
      </c>
      <c r="S17" t="s">
        <v>51</v>
      </c>
      <c r="T17" t="s">
        <v>52</v>
      </c>
      <c r="U17" t="s">
        <v>243</v>
      </c>
      <c r="V17" t="s">
        <v>54</v>
      </c>
      <c r="W17" t="s">
        <v>41</v>
      </c>
      <c r="X17" t="s">
        <v>73</v>
      </c>
      <c r="Y17" t="s">
        <v>212</v>
      </c>
      <c r="Z17" t="s">
        <v>228</v>
      </c>
      <c r="AA17" t="s">
        <v>244</v>
      </c>
      <c r="AB17">
        <v>0</v>
      </c>
      <c r="AC17">
        <v>0</v>
      </c>
      <c r="AD17">
        <v>5</v>
      </c>
      <c r="AE17">
        <v>1336.66</v>
      </c>
      <c r="AF17">
        <v>0</v>
      </c>
      <c r="AG17">
        <v>93.57</v>
      </c>
      <c r="AH17">
        <v>18.29</v>
      </c>
      <c r="AI17">
        <v>1448.52</v>
      </c>
      <c r="AJ17">
        <v>728.87</v>
      </c>
      <c r="AK17">
        <v>701.36</v>
      </c>
      <c r="AL17">
        <v>48.42</v>
      </c>
      <c r="AM17">
        <v>6065.44</v>
      </c>
      <c r="AN17" t="b">
        <v>1</v>
      </c>
      <c r="AO17">
        <v>7</v>
      </c>
    </row>
    <row r="18" spans="1:41" x14ac:dyDescent="0.35">
      <c r="A18" t="s">
        <v>249</v>
      </c>
      <c r="B18" s="1">
        <v>44688</v>
      </c>
      <c r="C18" s="2">
        <v>0.86233796296296295</v>
      </c>
      <c r="D18" t="s">
        <v>41</v>
      </c>
      <c r="E18" t="s">
        <v>77</v>
      </c>
      <c r="F18" t="s">
        <v>250</v>
      </c>
      <c r="G18" t="s">
        <v>251</v>
      </c>
      <c r="H18">
        <v>55</v>
      </c>
      <c r="I18" t="s">
        <v>78</v>
      </c>
      <c r="J18" t="s">
        <v>68</v>
      </c>
      <c r="K18" t="s">
        <v>45</v>
      </c>
      <c r="L18" t="s">
        <v>252</v>
      </c>
      <c r="M18" t="s">
        <v>154</v>
      </c>
      <c r="N18" t="s">
        <v>47</v>
      </c>
      <c r="O18" t="s">
        <v>48</v>
      </c>
      <c r="P18">
        <v>87929</v>
      </c>
      <c r="Q18" t="s">
        <v>81</v>
      </c>
      <c r="R18" t="s">
        <v>50</v>
      </c>
      <c r="S18" t="s">
        <v>51</v>
      </c>
      <c r="T18" t="s">
        <v>71</v>
      </c>
      <c r="U18" t="s">
        <v>72</v>
      </c>
      <c r="V18" t="s">
        <v>54</v>
      </c>
      <c r="W18" t="s">
        <v>41</v>
      </c>
      <c r="X18" t="s">
        <v>98</v>
      </c>
      <c r="Y18" t="s">
        <v>99</v>
      </c>
      <c r="Z18" t="s">
        <v>57</v>
      </c>
      <c r="AA18" t="s">
        <v>253</v>
      </c>
      <c r="AB18">
        <v>0</v>
      </c>
      <c r="AC18">
        <v>0</v>
      </c>
      <c r="AD18">
        <v>6</v>
      </c>
      <c r="AE18">
        <v>1552.36</v>
      </c>
      <c r="AF18">
        <v>0</v>
      </c>
      <c r="AG18">
        <v>108.66</v>
      </c>
      <c r="AH18">
        <v>2.69</v>
      </c>
      <c r="AI18">
        <v>1663.71</v>
      </c>
      <c r="AJ18">
        <v>636.48</v>
      </c>
      <c r="AK18">
        <v>1024.54</v>
      </c>
      <c r="AL18">
        <v>61.58</v>
      </c>
      <c r="AM18">
        <v>20991.919999999998</v>
      </c>
      <c r="AN18" t="b">
        <v>1</v>
      </c>
      <c r="AO18">
        <v>10</v>
      </c>
    </row>
    <row r="19" spans="1:41" x14ac:dyDescent="0.35">
      <c r="A19" t="s">
        <v>257</v>
      </c>
      <c r="B19" s="1">
        <v>45450</v>
      </c>
      <c r="C19" s="2">
        <v>0.67799768518518522</v>
      </c>
      <c r="D19" t="s">
        <v>41</v>
      </c>
      <c r="E19" t="s">
        <v>77</v>
      </c>
      <c r="F19" t="s">
        <v>258</v>
      </c>
      <c r="G19" t="s">
        <v>259</v>
      </c>
      <c r="H19">
        <v>73</v>
      </c>
      <c r="I19" t="s">
        <v>43</v>
      </c>
      <c r="J19" t="s">
        <v>60</v>
      </c>
      <c r="K19" t="s">
        <v>45</v>
      </c>
      <c r="L19" t="s">
        <v>260</v>
      </c>
      <c r="M19" t="s">
        <v>122</v>
      </c>
      <c r="N19" t="s">
        <v>123</v>
      </c>
      <c r="O19" t="s">
        <v>80</v>
      </c>
      <c r="P19">
        <v>93396</v>
      </c>
      <c r="Q19" t="s">
        <v>81</v>
      </c>
      <c r="R19" t="s">
        <v>50</v>
      </c>
      <c r="S19" t="s">
        <v>124</v>
      </c>
      <c r="T19" t="s">
        <v>71</v>
      </c>
      <c r="U19" t="s">
        <v>155</v>
      </c>
      <c r="V19" t="s">
        <v>54</v>
      </c>
      <c r="W19" t="s">
        <v>41</v>
      </c>
      <c r="X19" t="s">
        <v>172</v>
      </c>
      <c r="Y19" t="s">
        <v>56</v>
      </c>
      <c r="Z19" t="s">
        <v>57</v>
      </c>
      <c r="AA19" t="s">
        <v>192</v>
      </c>
      <c r="AB19">
        <v>0</v>
      </c>
      <c r="AC19">
        <v>0</v>
      </c>
      <c r="AD19">
        <v>9</v>
      </c>
      <c r="AE19">
        <v>5219.6899999999996</v>
      </c>
      <c r="AF19">
        <v>0</v>
      </c>
      <c r="AG19">
        <v>1043.93</v>
      </c>
      <c r="AH19">
        <v>25.3</v>
      </c>
      <c r="AI19">
        <v>6288.92</v>
      </c>
      <c r="AJ19">
        <v>3403.11</v>
      </c>
      <c r="AK19">
        <v>2860.51</v>
      </c>
      <c r="AL19">
        <v>45.48</v>
      </c>
      <c r="AM19">
        <v>11439.17</v>
      </c>
      <c r="AN19" t="b">
        <v>1</v>
      </c>
      <c r="AO19">
        <v>7</v>
      </c>
    </row>
    <row r="20" spans="1:41" x14ac:dyDescent="0.35">
      <c r="A20" t="s">
        <v>262</v>
      </c>
      <c r="B20" s="1">
        <v>45878</v>
      </c>
      <c r="C20" s="2">
        <v>0.15274305555555556</v>
      </c>
      <c r="D20" t="s">
        <v>41</v>
      </c>
      <c r="E20" t="s">
        <v>111</v>
      </c>
      <c r="F20" t="s">
        <v>263</v>
      </c>
      <c r="G20" t="s">
        <v>264</v>
      </c>
      <c r="H20">
        <v>52</v>
      </c>
      <c r="I20" t="s">
        <v>78</v>
      </c>
      <c r="J20" t="s">
        <v>68</v>
      </c>
      <c r="K20" t="s">
        <v>45</v>
      </c>
      <c r="L20" t="s">
        <v>265</v>
      </c>
      <c r="M20" t="s">
        <v>160</v>
      </c>
      <c r="N20" t="s">
        <v>123</v>
      </c>
      <c r="O20" t="s">
        <v>118</v>
      </c>
      <c r="P20">
        <v>46817</v>
      </c>
      <c r="Q20" t="s">
        <v>107</v>
      </c>
      <c r="R20" t="s">
        <v>50</v>
      </c>
      <c r="S20" t="s">
        <v>124</v>
      </c>
      <c r="T20" t="s">
        <v>52</v>
      </c>
      <c r="U20" t="s">
        <v>66</v>
      </c>
      <c r="V20" t="s">
        <v>54</v>
      </c>
      <c r="W20" t="s">
        <v>41</v>
      </c>
      <c r="X20" t="s">
        <v>84</v>
      </c>
      <c r="Y20" t="s">
        <v>131</v>
      </c>
      <c r="Z20" t="s">
        <v>132</v>
      </c>
      <c r="AA20" t="s">
        <v>144</v>
      </c>
      <c r="AB20">
        <v>0</v>
      </c>
      <c r="AC20">
        <v>0</v>
      </c>
      <c r="AD20">
        <v>5</v>
      </c>
      <c r="AE20">
        <v>380.28</v>
      </c>
      <c r="AF20">
        <v>0</v>
      </c>
      <c r="AG20">
        <v>76.06</v>
      </c>
      <c r="AH20">
        <v>21.39</v>
      </c>
      <c r="AI20">
        <v>477.73</v>
      </c>
      <c r="AJ20">
        <v>193.79</v>
      </c>
      <c r="AK20">
        <v>262.55</v>
      </c>
      <c r="AL20">
        <v>54.96</v>
      </c>
      <c r="AM20">
        <v>9572.7999999999993</v>
      </c>
      <c r="AN20" t="b">
        <v>1</v>
      </c>
      <c r="AO20">
        <v>10</v>
      </c>
    </row>
    <row r="21" spans="1:41" x14ac:dyDescent="0.35">
      <c r="A21" t="s">
        <v>266</v>
      </c>
      <c r="B21" s="1">
        <v>45208</v>
      </c>
      <c r="C21" s="2">
        <v>0.97140046296296301</v>
      </c>
      <c r="D21" t="s">
        <v>41</v>
      </c>
      <c r="E21" t="s">
        <v>42</v>
      </c>
      <c r="F21" t="s">
        <v>267</v>
      </c>
      <c r="G21" t="s">
        <v>268</v>
      </c>
      <c r="H21">
        <v>47</v>
      </c>
      <c r="I21" t="s">
        <v>78</v>
      </c>
      <c r="J21" t="s">
        <v>88</v>
      </c>
      <c r="K21" t="s">
        <v>45</v>
      </c>
      <c r="L21" t="s">
        <v>269</v>
      </c>
      <c r="M21" t="s">
        <v>142</v>
      </c>
      <c r="N21" t="s">
        <v>47</v>
      </c>
      <c r="O21" t="s">
        <v>70</v>
      </c>
      <c r="P21">
        <v>61342</v>
      </c>
      <c r="Q21" t="s">
        <v>113</v>
      </c>
      <c r="R21" t="s">
        <v>50</v>
      </c>
      <c r="S21" t="s">
        <v>51</v>
      </c>
      <c r="T21" t="s">
        <v>52</v>
      </c>
      <c r="U21" t="s">
        <v>243</v>
      </c>
      <c r="V21" t="s">
        <v>54</v>
      </c>
      <c r="W21" t="s">
        <v>41</v>
      </c>
      <c r="X21" t="s">
        <v>55</v>
      </c>
      <c r="Y21" t="s">
        <v>56</v>
      </c>
      <c r="Z21" t="s">
        <v>57</v>
      </c>
      <c r="AA21" t="s">
        <v>76</v>
      </c>
      <c r="AB21">
        <v>0</v>
      </c>
      <c r="AC21">
        <v>0</v>
      </c>
      <c r="AD21">
        <v>4</v>
      </c>
      <c r="AE21">
        <v>544.74</v>
      </c>
      <c r="AF21">
        <v>0</v>
      </c>
      <c r="AG21">
        <v>38.14</v>
      </c>
      <c r="AH21">
        <v>35.72</v>
      </c>
      <c r="AI21">
        <v>618.6</v>
      </c>
      <c r="AJ21">
        <v>238.1</v>
      </c>
      <c r="AK21">
        <v>344.78</v>
      </c>
      <c r="AL21">
        <v>55.74</v>
      </c>
      <c r="AM21">
        <v>15710.16</v>
      </c>
      <c r="AN21" t="b">
        <v>1</v>
      </c>
      <c r="AO21">
        <v>8</v>
      </c>
    </row>
    <row r="22" spans="1:41" x14ac:dyDescent="0.35">
      <c r="A22" t="s">
        <v>270</v>
      </c>
      <c r="B22" s="1">
        <v>44987</v>
      </c>
      <c r="C22" s="2">
        <v>0.96567129629629633</v>
      </c>
      <c r="D22" t="s">
        <v>41</v>
      </c>
      <c r="E22" t="s">
        <v>59</v>
      </c>
      <c r="F22" t="s">
        <v>271</v>
      </c>
      <c r="G22" t="s">
        <v>272</v>
      </c>
      <c r="H22">
        <v>18</v>
      </c>
      <c r="I22" t="s">
        <v>43</v>
      </c>
      <c r="J22" t="s">
        <v>60</v>
      </c>
      <c r="K22" t="s">
        <v>45</v>
      </c>
      <c r="L22" t="s">
        <v>273</v>
      </c>
      <c r="M22" t="s">
        <v>142</v>
      </c>
      <c r="N22" t="s">
        <v>47</v>
      </c>
      <c r="O22" t="s">
        <v>70</v>
      </c>
      <c r="P22">
        <v>81308</v>
      </c>
      <c r="Q22" t="s">
        <v>81</v>
      </c>
      <c r="R22" t="s">
        <v>50</v>
      </c>
      <c r="S22" t="s">
        <v>51</v>
      </c>
      <c r="T22" t="s">
        <v>52</v>
      </c>
      <c r="U22" t="s">
        <v>114</v>
      </c>
      <c r="V22" t="s">
        <v>54</v>
      </c>
      <c r="W22" t="s">
        <v>41</v>
      </c>
      <c r="X22" t="s">
        <v>261</v>
      </c>
      <c r="Y22" t="s">
        <v>108</v>
      </c>
      <c r="Z22" t="s">
        <v>245</v>
      </c>
      <c r="AA22" t="s">
        <v>274</v>
      </c>
      <c r="AB22">
        <v>0</v>
      </c>
      <c r="AC22">
        <v>0</v>
      </c>
      <c r="AD22">
        <v>4</v>
      </c>
      <c r="AE22">
        <v>120.04</v>
      </c>
      <c r="AF22">
        <v>0</v>
      </c>
      <c r="AG22">
        <v>8.41</v>
      </c>
      <c r="AH22">
        <v>11.5</v>
      </c>
      <c r="AI22">
        <v>139.94999999999999</v>
      </c>
      <c r="AJ22">
        <v>48.16</v>
      </c>
      <c r="AK22">
        <v>80.290000000000006</v>
      </c>
      <c r="AL22">
        <v>57.37</v>
      </c>
      <c r="AM22">
        <v>6753.53</v>
      </c>
      <c r="AN22" t="b">
        <v>1</v>
      </c>
      <c r="AO22">
        <v>5</v>
      </c>
    </row>
    <row r="23" spans="1:41" x14ac:dyDescent="0.35">
      <c r="A23" t="s">
        <v>275</v>
      </c>
      <c r="B23" s="1">
        <v>44472</v>
      </c>
      <c r="C23" s="2">
        <v>0.66605324074074079</v>
      </c>
      <c r="D23" t="s">
        <v>41</v>
      </c>
      <c r="E23" t="s">
        <v>42</v>
      </c>
      <c r="F23" t="s">
        <v>276</v>
      </c>
      <c r="G23" t="s">
        <v>277</v>
      </c>
      <c r="H23">
        <v>61</v>
      </c>
      <c r="I23" t="s">
        <v>43</v>
      </c>
      <c r="J23" t="s">
        <v>88</v>
      </c>
      <c r="K23" t="s">
        <v>152</v>
      </c>
      <c r="L23" t="s">
        <v>278</v>
      </c>
      <c r="M23" t="s">
        <v>193</v>
      </c>
      <c r="N23" t="s">
        <v>47</v>
      </c>
      <c r="O23" t="s">
        <v>106</v>
      </c>
      <c r="P23">
        <v>59556</v>
      </c>
      <c r="Q23" t="s">
        <v>137</v>
      </c>
      <c r="R23" t="s">
        <v>50</v>
      </c>
      <c r="S23" t="s">
        <v>51</v>
      </c>
      <c r="T23" t="s">
        <v>52</v>
      </c>
      <c r="U23" t="s">
        <v>120</v>
      </c>
      <c r="V23" t="s">
        <v>54</v>
      </c>
      <c r="W23" t="s">
        <v>41</v>
      </c>
      <c r="X23" t="s">
        <v>84</v>
      </c>
      <c r="Y23" t="s">
        <v>108</v>
      </c>
      <c r="Z23" t="s">
        <v>245</v>
      </c>
      <c r="AA23" t="s">
        <v>95</v>
      </c>
      <c r="AB23">
        <v>0</v>
      </c>
      <c r="AC23">
        <v>0</v>
      </c>
      <c r="AD23">
        <v>5</v>
      </c>
      <c r="AE23">
        <v>2661.99</v>
      </c>
      <c r="AF23">
        <v>0</v>
      </c>
      <c r="AG23">
        <v>186.34</v>
      </c>
      <c r="AH23">
        <v>20.47</v>
      </c>
      <c r="AI23">
        <v>2868.8</v>
      </c>
      <c r="AJ23">
        <v>1240.3800000000001</v>
      </c>
      <c r="AK23">
        <v>1607.95</v>
      </c>
      <c r="AL23">
        <v>56.05</v>
      </c>
      <c r="AM23">
        <v>3053.2</v>
      </c>
      <c r="AN23" t="b">
        <v>1</v>
      </c>
      <c r="AO23">
        <v>2</v>
      </c>
    </row>
    <row r="24" spans="1:41" x14ac:dyDescent="0.35">
      <c r="A24" t="s">
        <v>279</v>
      </c>
      <c r="B24" s="1">
        <v>44318</v>
      </c>
      <c r="C24" s="2">
        <v>0.10754629629629629</v>
      </c>
      <c r="D24" t="s">
        <v>41</v>
      </c>
      <c r="E24" t="s">
        <v>77</v>
      </c>
      <c r="F24" t="s">
        <v>280</v>
      </c>
      <c r="G24" t="s">
        <v>281</v>
      </c>
      <c r="H24">
        <v>64</v>
      </c>
      <c r="I24" t="s">
        <v>43</v>
      </c>
      <c r="J24" t="s">
        <v>88</v>
      </c>
      <c r="K24" t="s">
        <v>45</v>
      </c>
      <c r="L24" t="s">
        <v>282</v>
      </c>
      <c r="M24" t="s">
        <v>122</v>
      </c>
      <c r="N24" t="s">
        <v>123</v>
      </c>
      <c r="O24" t="s">
        <v>80</v>
      </c>
      <c r="P24">
        <v>38156</v>
      </c>
      <c r="Q24" t="s">
        <v>107</v>
      </c>
      <c r="R24" t="s">
        <v>50</v>
      </c>
      <c r="S24" t="s">
        <v>124</v>
      </c>
      <c r="T24" t="s">
        <v>71</v>
      </c>
      <c r="U24" t="s">
        <v>191</v>
      </c>
      <c r="V24" t="s">
        <v>54</v>
      </c>
      <c r="W24" t="s">
        <v>41</v>
      </c>
      <c r="X24" t="s">
        <v>261</v>
      </c>
      <c r="Y24" t="s">
        <v>108</v>
      </c>
      <c r="Z24" t="s">
        <v>157</v>
      </c>
      <c r="AA24" t="s">
        <v>283</v>
      </c>
      <c r="AB24">
        <v>0</v>
      </c>
      <c r="AC24">
        <v>0</v>
      </c>
      <c r="AD24">
        <v>5</v>
      </c>
      <c r="AE24">
        <v>1327.39</v>
      </c>
      <c r="AF24">
        <v>0</v>
      </c>
      <c r="AG24">
        <v>265.48</v>
      </c>
      <c r="AH24">
        <v>10.26</v>
      </c>
      <c r="AI24">
        <v>1603.13</v>
      </c>
      <c r="AJ24">
        <v>747.19</v>
      </c>
      <c r="AK24">
        <v>845.68</v>
      </c>
      <c r="AL24">
        <v>52.75</v>
      </c>
      <c r="AM24">
        <v>14646.81</v>
      </c>
      <c r="AN24" t="b">
        <v>1</v>
      </c>
      <c r="AO24">
        <v>10</v>
      </c>
    </row>
    <row r="25" spans="1:41" x14ac:dyDescent="0.35">
      <c r="A25" t="s">
        <v>285</v>
      </c>
      <c r="B25" s="1">
        <v>45966</v>
      </c>
      <c r="C25" s="2">
        <v>0.54861111111111116</v>
      </c>
      <c r="D25" t="s">
        <v>41</v>
      </c>
      <c r="E25" t="s">
        <v>42</v>
      </c>
      <c r="F25" t="s">
        <v>286</v>
      </c>
      <c r="G25" t="s">
        <v>287</v>
      </c>
      <c r="H25">
        <v>29</v>
      </c>
      <c r="I25" t="s">
        <v>43</v>
      </c>
      <c r="J25" t="s">
        <v>44</v>
      </c>
      <c r="K25" t="s">
        <v>45</v>
      </c>
      <c r="L25" t="s">
        <v>288</v>
      </c>
      <c r="M25" t="s">
        <v>142</v>
      </c>
      <c r="N25" t="s">
        <v>47</v>
      </c>
      <c r="O25" t="s">
        <v>70</v>
      </c>
      <c r="P25">
        <v>87560</v>
      </c>
      <c r="Q25" t="s">
        <v>137</v>
      </c>
      <c r="R25" t="s">
        <v>50</v>
      </c>
      <c r="S25" t="s">
        <v>51</v>
      </c>
      <c r="T25" t="s">
        <v>52</v>
      </c>
      <c r="U25" t="s">
        <v>114</v>
      </c>
      <c r="V25" t="s">
        <v>54</v>
      </c>
      <c r="W25" t="s">
        <v>41</v>
      </c>
      <c r="X25" t="s">
        <v>261</v>
      </c>
      <c r="Y25" t="s">
        <v>99</v>
      </c>
      <c r="Z25" t="s">
        <v>57</v>
      </c>
      <c r="AA25" t="s">
        <v>206</v>
      </c>
      <c r="AB25">
        <v>0</v>
      </c>
      <c r="AC25">
        <v>0</v>
      </c>
      <c r="AD25">
        <v>5</v>
      </c>
      <c r="AE25">
        <v>221.85</v>
      </c>
      <c r="AF25">
        <v>0</v>
      </c>
      <c r="AG25">
        <v>15.53</v>
      </c>
      <c r="AH25">
        <v>15.22</v>
      </c>
      <c r="AI25">
        <v>252.6</v>
      </c>
      <c r="AJ25">
        <v>97.44</v>
      </c>
      <c r="AK25">
        <v>139.94</v>
      </c>
      <c r="AL25">
        <v>55.4</v>
      </c>
      <c r="AM25">
        <v>6853.83</v>
      </c>
      <c r="AN25" t="b">
        <v>1</v>
      </c>
      <c r="AO25">
        <v>10</v>
      </c>
    </row>
    <row r="26" spans="1:41" x14ac:dyDescent="0.35">
      <c r="A26" t="s">
        <v>289</v>
      </c>
      <c r="B26" s="1">
        <v>44234</v>
      </c>
      <c r="C26" s="2">
        <v>0.8385069444444444</v>
      </c>
      <c r="D26" t="s">
        <v>41</v>
      </c>
      <c r="E26" t="s">
        <v>77</v>
      </c>
      <c r="F26" t="s">
        <v>290</v>
      </c>
      <c r="G26" t="s">
        <v>291</v>
      </c>
      <c r="H26">
        <v>37</v>
      </c>
      <c r="I26" t="s">
        <v>78</v>
      </c>
      <c r="J26" t="s">
        <v>60</v>
      </c>
      <c r="K26" t="s">
        <v>45</v>
      </c>
      <c r="L26" t="s">
        <v>292</v>
      </c>
      <c r="M26" t="s">
        <v>148</v>
      </c>
      <c r="N26" t="s">
        <v>47</v>
      </c>
      <c r="O26" t="s">
        <v>70</v>
      </c>
      <c r="P26">
        <v>78762</v>
      </c>
      <c r="Q26" t="s">
        <v>113</v>
      </c>
      <c r="R26" t="s">
        <v>50</v>
      </c>
      <c r="S26" t="s">
        <v>51</v>
      </c>
      <c r="T26" t="s">
        <v>52</v>
      </c>
      <c r="U26" t="s">
        <v>120</v>
      </c>
      <c r="V26" t="s">
        <v>54</v>
      </c>
      <c r="W26" t="s">
        <v>41</v>
      </c>
      <c r="X26" t="s">
        <v>156</v>
      </c>
      <c r="Y26" t="s">
        <v>56</v>
      </c>
      <c r="Z26" t="s">
        <v>57</v>
      </c>
      <c r="AA26" t="s">
        <v>206</v>
      </c>
      <c r="AB26">
        <v>0</v>
      </c>
      <c r="AC26">
        <v>0</v>
      </c>
      <c r="AD26">
        <v>3</v>
      </c>
      <c r="AE26">
        <v>133.30000000000001</v>
      </c>
      <c r="AF26">
        <v>0</v>
      </c>
      <c r="AG26">
        <v>9.34</v>
      </c>
      <c r="AH26">
        <v>12.27</v>
      </c>
      <c r="AI26">
        <v>154.91</v>
      </c>
      <c r="AJ26">
        <v>59.47</v>
      </c>
      <c r="AK26">
        <v>83.17</v>
      </c>
      <c r="AL26">
        <v>53.69</v>
      </c>
      <c r="AM26">
        <v>3564.95</v>
      </c>
      <c r="AN26" t="b">
        <v>1</v>
      </c>
      <c r="AO26">
        <v>4</v>
      </c>
    </row>
    <row r="27" spans="1:41" x14ac:dyDescent="0.35">
      <c r="A27" t="s">
        <v>294</v>
      </c>
      <c r="B27" s="1">
        <v>44353</v>
      </c>
      <c r="C27" s="2">
        <v>0.38061342592592595</v>
      </c>
      <c r="D27" t="s">
        <v>41</v>
      </c>
      <c r="E27" t="s">
        <v>77</v>
      </c>
      <c r="F27" t="s">
        <v>295</v>
      </c>
      <c r="G27" t="s">
        <v>296</v>
      </c>
      <c r="H27">
        <v>66</v>
      </c>
      <c r="I27" t="s">
        <v>43</v>
      </c>
      <c r="J27" t="s">
        <v>44</v>
      </c>
      <c r="K27" t="s">
        <v>45</v>
      </c>
      <c r="L27" t="s">
        <v>297</v>
      </c>
      <c r="M27" t="s">
        <v>298</v>
      </c>
      <c r="N27" t="s">
        <v>165</v>
      </c>
      <c r="O27" t="s">
        <v>70</v>
      </c>
      <c r="P27">
        <v>24429</v>
      </c>
      <c r="Q27" t="s">
        <v>113</v>
      </c>
      <c r="R27" t="s">
        <v>50</v>
      </c>
      <c r="S27" t="s">
        <v>166</v>
      </c>
      <c r="T27" t="s">
        <v>65</v>
      </c>
      <c r="U27" t="s">
        <v>97</v>
      </c>
      <c r="V27" t="s">
        <v>54</v>
      </c>
      <c r="W27" t="s">
        <v>41</v>
      </c>
      <c r="X27" t="s">
        <v>172</v>
      </c>
      <c r="Y27" t="s">
        <v>93</v>
      </c>
      <c r="Z27" t="s">
        <v>94</v>
      </c>
      <c r="AA27" t="s">
        <v>140</v>
      </c>
      <c r="AB27">
        <v>0</v>
      </c>
      <c r="AC27">
        <v>0</v>
      </c>
      <c r="AD27">
        <v>11</v>
      </c>
      <c r="AE27">
        <v>1407.68</v>
      </c>
      <c r="AF27">
        <v>0</v>
      </c>
      <c r="AG27">
        <v>70.38</v>
      </c>
      <c r="AH27">
        <v>37.090000000000003</v>
      </c>
      <c r="AI27">
        <v>1515.15</v>
      </c>
      <c r="AJ27">
        <v>508.54</v>
      </c>
      <c r="AK27">
        <v>969.52</v>
      </c>
      <c r="AL27">
        <v>63.99</v>
      </c>
      <c r="AM27">
        <v>11042.37</v>
      </c>
      <c r="AN27" t="b">
        <v>1</v>
      </c>
      <c r="AO27">
        <v>8</v>
      </c>
    </row>
    <row r="28" spans="1:41" x14ac:dyDescent="0.35">
      <c r="A28" t="s">
        <v>299</v>
      </c>
      <c r="B28" s="1">
        <v>45814</v>
      </c>
      <c r="C28" s="2">
        <v>0.64606481481481481</v>
      </c>
      <c r="D28" t="s">
        <v>41</v>
      </c>
      <c r="E28" t="s">
        <v>77</v>
      </c>
      <c r="F28" t="s">
        <v>300</v>
      </c>
      <c r="G28" t="s">
        <v>301</v>
      </c>
      <c r="H28">
        <v>31</v>
      </c>
      <c r="I28" t="s">
        <v>43</v>
      </c>
      <c r="J28" t="s">
        <v>88</v>
      </c>
      <c r="K28" t="s">
        <v>45</v>
      </c>
      <c r="L28" t="s">
        <v>302</v>
      </c>
      <c r="M28" t="s">
        <v>198</v>
      </c>
      <c r="N28" t="s">
        <v>47</v>
      </c>
      <c r="O28" t="s">
        <v>70</v>
      </c>
      <c r="P28">
        <v>38479</v>
      </c>
      <c r="Q28" t="s">
        <v>81</v>
      </c>
      <c r="R28" t="s">
        <v>50</v>
      </c>
      <c r="S28" t="s">
        <v>51</v>
      </c>
      <c r="T28" t="s">
        <v>52</v>
      </c>
      <c r="U28" t="s">
        <v>155</v>
      </c>
      <c r="V28" t="s">
        <v>54</v>
      </c>
      <c r="W28" t="s">
        <v>41</v>
      </c>
      <c r="X28" t="s">
        <v>176</v>
      </c>
      <c r="Y28" t="s">
        <v>56</v>
      </c>
      <c r="Z28" t="s">
        <v>57</v>
      </c>
      <c r="AA28" t="s">
        <v>159</v>
      </c>
      <c r="AB28">
        <v>0</v>
      </c>
      <c r="AC28">
        <v>0</v>
      </c>
      <c r="AD28">
        <v>3</v>
      </c>
      <c r="AE28">
        <v>241.8</v>
      </c>
      <c r="AF28">
        <v>0</v>
      </c>
      <c r="AG28">
        <v>16.93</v>
      </c>
      <c r="AH28">
        <v>9.59</v>
      </c>
      <c r="AI28">
        <v>268.32</v>
      </c>
      <c r="AJ28">
        <v>139</v>
      </c>
      <c r="AK28">
        <v>119.73</v>
      </c>
      <c r="AL28">
        <v>44.62</v>
      </c>
      <c r="AM28">
        <v>8992.7000000000007</v>
      </c>
      <c r="AN28" t="b">
        <v>1</v>
      </c>
      <c r="AO28">
        <v>7</v>
      </c>
    </row>
    <row r="29" spans="1:41" x14ac:dyDescent="0.35">
      <c r="A29" t="s">
        <v>305</v>
      </c>
      <c r="B29" s="1">
        <v>45634</v>
      </c>
      <c r="C29" s="2">
        <v>0.46075231481481482</v>
      </c>
      <c r="D29" t="s">
        <v>41</v>
      </c>
      <c r="E29" t="s">
        <v>111</v>
      </c>
      <c r="F29" t="s">
        <v>306</v>
      </c>
      <c r="G29" t="s">
        <v>307</v>
      </c>
      <c r="H29">
        <v>35</v>
      </c>
      <c r="I29" t="s">
        <v>78</v>
      </c>
      <c r="J29" t="s">
        <v>88</v>
      </c>
      <c r="K29" t="s">
        <v>45</v>
      </c>
      <c r="L29" t="s">
        <v>308</v>
      </c>
      <c r="M29" t="s">
        <v>105</v>
      </c>
      <c r="N29" t="s">
        <v>47</v>
      </c>
      <c r="O29" t="s">
        <v>106</v>
      </c>
      <c r="P29">
        <v>72739</v>
      </c>
      <c r="Q29" t="s">
        <v>63</v>
      </c>
      <c r="R29" t="s">
        <v>50</v>
      </c>
      <c r="S29" t="s">
        <v>51</v>
      </c>
      <c r="T29" t="s">
        <v>71</v>
      </c>
      <c r="U29" t="s">
        <v>211</v>
      </c>
      <c r="V29" t="s">
        <v>54</v>
      </c>
      <c r="W29" t="s">
        <v>41</v>
      </c>
      <c r="X29" t="s">
        <v>261</v>
      </c>
      <c r="Y29" t="s">
        <v>56</v>
      </c>
      <c r="Z29" t="s">
        <v>57</v>
      </c>
      <c r="AA29" t="s">
        <v>309</v>
      </c>
      <c r="AB29">
        <v>0</v>
      </c>
      <c r="AC29">
        <v>0</v>
      </c>
      <c r="AD29">
        <v>3</v>
      </c>
      <c r="AE29">
        <v>1875.36</v>
      </c>
      <c r="AF29">
        <v>0</v>
      </c>
      <c r="AG29">
        <v>131.27000000000001</v>
      </c>
      <c r="AH29">
        <v>18.62</v>
      </c>
      <c r="AI29">
        <v>2025.25</v>
      </c>
      <c r="AJ29">
        <v>1189.53</v>
      </c>
      <c r="AK29">
        <v>817.1</v>
      </c>
      <c r="AL29">
        <v>40.35</v>
      </c>
      <c r="AM29">
        <v>14160.73</v>
      </c>
      <c r="AN29" t="b">
        <v>1</v>
      </c>
      <c r="AO29">
        <v>8</v>
      </c>
    </row>
    <row r="30" spans="1:41" x14ac:dyDescent="0.35">
      <c r="A30" t="s">
        <v>310</v>
      </c>
      <c r="B30" s="1">
        <v>45482</v>
      </c>
      <c r="C30" s="2">
        <v>0.45263888888888887</v>
      </c>
      <c r="D30" t="s">
        <v>41</v>
      </c>
      <c r="E30" t="s">
        <v>42</v>
      </c>
      <c r="F30" t="s">
        <v>311</v>
      </c>
      <c r="G30" t="s">
        <v>312</v>
      </c>
      <c r="H30">
        <v>55</v>
      </c>
      <c r="I30" t="s">
        <v>78</v>
      </c>
      <c r="J30" t="s">
        <v>88</v>
      </c>
      <c r="K30" t="s">
        <v>45</v>
      </c>
      <c r="L30" t="s">
        <v>313</v>
      </c>
      <c r="M30" t="s">
        <v>148</v>
      </c>
      <c r="N30" t="s">
        <v>47</v>
      </c>
      <c r="O30" t="s">
        <v>70</v>
      </c>
      <c r="P30">
        <v>66834</v>
      </c>
      <c r="Q30" t="s">
        <v>49</v>
      </c>
      <c r="R30" t="s">
        <v>50</v>
      </c>
      <c r="S30" t="s">
        <v>51</v>
      </c>
      <c r="T30" t="s">
        <v>71</v>
      </c>
      <c r="U30" t="s">
        <v>155</v>
      </c>
      <c r="V30" t="s">
        <v>54</v>
      </c>
      <c r="W30" t="s">
        <v>41</v>
      </c>
      <c r="X30" t="s">
        <v>55</v>
      </c>
      <c r="Y30" t="s">
        <v>212</v>
      </c>
      <c r="Z30" t="s">
        <v>228</v>
      </c>
      <c r="AA30" t="s">
        <v>203</v>
      </c>
      <c r="AB30">
        <v>0</v>
      </c>
      <c r="AC30">
        <v>0</v>
      </c>
      <c r="AD30">
        <v>4</v>
      </c>
      <c r="AE30">
        <v>490.76</v>
      </c>
      <c r="AF30">
        <v>0</v>
      </c>
      <c r="AG30">
        <v>34.36</v>
      </c>
      <c r="AH30">
        <v>10.09</v>
      </c>
      <c r="AI30">
        <v>535.21</v>
      </c>
      <c r="AJ30">
        <v>193.96</v>
      </c>
      <c r="AK30">
        <v>331.16</v>
      </c>
      <c r="AL30">
        <v>61.87</v>
      </c>
      <c r="AM30">
        <v>4665.3900000000003</v>
      </c>
      <c r="AN30" t="b">
        <v>1</v>
      </c>
      <c r="AO30">
        <v>7</v>
      </c>
    </row>
    <row r="31" spans="1:41" x14ac:dyDescent="0.35">
      <c r="A31" t="s">
        <v>314</v>
      </c>
      <c r="B31" s="1">
        <v>44594</v>
      </c>
      <c r="C31" s="2">
        <v>0.30716435185185187</v>
      </c>
      <c r="D31" t="s">
        <v>41</v>
      </c>
      <c r="E31" t="s">
        <v>42</v>
      </c>
      <c r="F31" t="s">
        <v>315</v>
      </c>
      <c r="G31" t="s">
        <v>316</v>
      </c>
      <c r="H31">
        <v>58</v>
      </c>
      <c r="I31" t="s">
        <v>78</v>
      </c>
      <c r="J31" t="s">
        <v>88</v>
      </c>
      <c r="K31" t="s">
        <v>45</v>
      </c>
      <c r="L31" t="s">
        <v>317</v>
      </c>
      <c r="M31" t="s">
        <v>298</v>
      </c>
      <c r="N31" t="s">
        <v>165</v>
      </c>
      <c r="O31" t="s">
        <v>70</v>
      </c>
      <c r="P31">
        <v>29930</v>
      </c>
      <c r="Q31" t="s">
        <v>96</v>
      </c>
      <c r="R31" t="s">
        <v>50</v>
      </c>
      <c r="S31" t="s">
        <v>166</v>
      </c>
      <c r="T31" t="s">
        <v>82</v>
      </c>
      <c r="U31" t="s">
        <v>53</v>
      </c>
      <c r="V31" t="s">
        <v>54</v>
      </c>
      <c r="W31" t="s">
        <v>41</v>
      </c>
      <c r="X31" t="s">
        <v>172</v>
      </c>
      <c r="Y31" t="s">
        <v>85</v>
      </c>
      <c r="Z31" t="s">
        <v>86</v>
      </c>
      <c r="AA31" t="s">
        <v>110</v>
      </c>
      <c r="AB31">
        <v>0</v>
      </c>
      <c r="AC31">
        <v>0</v>
      </c>
      <c r="AD31">
        <v>8</v>
      </c>
      <c r="AE31">
        <v>370.08</v>
      </c>
      <c r="AF31">
        <v>0</v>
      </c>
      <c r="AG31">
        <v>18.5</v>
      </c>
      <c r="AH31">
        <v>78.97</v>
      </c>
      <c r="AI31">
        <v>467.55</v>
      </c>
      <c r="AJ31">
        <v>127.56</v>
      </c>
      <c r="AK31">
        <v>261.02</v>
      </c>
      <c r="AL31">
        <v>55.83</v>
      </c>
      <c r="AM31">
        <v>7351.76</v>
      </c>
      <c r="AN31" t="b">
        <v>1</v>
      </c>
      <c r="AO31">
        <v>8</v>
      </c>
    </row>
    <row r="32" spans="1:41" x14ac:dyDescent="0.35">
      <c r="A32" t="s">
        <v>319</v>
      </c>
      <c r="B32" s="1">
        <v>44289</v>
      </c>
      <c r="C32" s="2">
        <v>0.63918981481481485</v>
      </c>
      <c r="D32" t="s">
        <v>41</v>
      </c>
      <c r="E32" t="s">
        <v>111</v>
      </c>
      <c r="F32" t="s">
        <v>320</v>
      </c>
      <c r="G32" t="s">
        <v>321</v>
      </c>
      <c r="H32">
        <v>51</v>
      </c>
      <c r="I32" t="s">
        <v>78</v>
      </c>
      <c r="J32" t="s">
        <v>88</v>
      </c>
      <c r="K32" t="s">
        <v>45</v>
      </c>
      <c r="L32" t="s">
        <v>322</v>
      </c>
      <c r="M32" t="s">
        <v>198</v>
      </c>
      <c r="N32" t="s">
        <v>47</v>
      </c>
      <c r="O32" t="s">
        <v>70</v>
      </c>
      <c r="P32">
        <v>74727</v>
      </c>
      <c r="Q32" t="s">
        <v>113</v>
      </c>
      <c r="R32" t="s">
        <v>50</v>
      </c>
      <c r="S32" t="s">
        <v>51</v>
      </c>
      <c r="T32" t="s">
        <v>65</v>
      </c>
      <c r="U32" t="s">
        <v>155</v>
      </c>
      <c r="V32" t="s">
        <v>54</v>
      </c>
      <c r="W32" t="s">
        <v>41</v>
      </c>
      <c r="X32" t="s">
        <v>172</v>
      </c>
      <c r="Y32" t="s">
        <v>99</v>
      </c>
      <c r="Z32" t="s">
        <v>57</v>
      </c>
      <c r="AA32" t="s">
        <v>147</v>
      </c>
      <c r="AB32">
        <v>0</v>
      </c>
      <c r="AC32">
        <v>0</v>
      </c>
      <c r="AD32">
        <v>8</v>
      </c>
      <c r="AE32">
        <v>650.5</v>
      </c>
      <c r="AF32">
        <v>0</v>
      </c>
      <c r="AG32">
        <v>45.54</v>
      </c>
      <c r="AH32">
        <v>39.39</v>
      </c>
      <c r="AI32">
        <v>735.43</v>
      </c>
      <c r="AJ32">
        <v>278.52999999999997</v>
      </c>
      <c r="AK32">
        <v>417.51</v>
      </c>
      <c r="AL32">
        <v>56.77</v>
      </c>
      <c r="AM32">
        <v>10303.700000000001</v>
      </c>
      <c r="AN32" t="b">
        <v>1</v>
      </c>
      <c r="AO32">
        <v>11</v>
      </c>
    </row>
    <row r="33" spans="1:41" x14ac:dyDescent="0.35">
      <c r="A33" t="s">
        <v>327</v>
      </c>
      <c r="B33" s="1">
        <v>44386</v>
      </c>
      <c r="C33" s="2">
        <v>0.88579861111111113</v>
      </c>
      <c r="D33" t="s">
        <v>41</v>
      </c>
      <c r="E33" t="s">
        <v>42</v>
      </c>
      <c r="F33" t="s">
        <v>328</v>
      </c>
      <c r="G33" t="s">
        <v>329</v>
      </c>
      <c r="H33">
        <v>36</v>
      </c>
      <c r="I33" t="s">
        <v>78</v>
      </c>
      <c r="J33" t="s">
        <v>44</v>
      </c>
      <c r="K33" t="s">
        <v>152</v>
      </c>
      <c r="L33" t="s">
        <v>330</v>
      </c>
      <c r="M33" t="s">
        <v>331</v>
      </c>
      <c r="N33" t="s">
        <v>117</v>
      </c>
      <c r="O33" t="s">
        <v>70</v>
      </c>
      <c r="P33">
        <v>97331</v>
      </c>
      <c r="Q33" t="s">
        <v>107</v>
      </c>
      <c r="R33" t="s">
        <v>50</v>
      </c>
      <c r="S33" t="s">
        <v>119</v>
      </c>
      <c r="T33" t="s">
        <v>71</v>
      </c>
      <c r="U33" t="s">
        <v>120</v>
      </c>
      <c r="V33" t="s">
        <v>54</v>
      </c>
      <c r="W33" t="s">
        <v>41</v>
      </c>
      <c r="X33" t="s">
        <v>172</v>
      </c>
      <c r="Y33" t="s">
        <v>108</v>
      </c>
      <c r="Z33" t="s">
        <v>245</v>
      </c>
      <c r="AA33" t="s">
        <v>178</v>
      </c>
      <c r="AB33">
        <v>0</v>
      </c>
      <c r="AC33">
        <v>0</v>
      </c>
      <c r="AD33">
        <v>5</v>
      </c>
      <c r="AE33">
        <v>183.77</v>
      </c>
      <c r="AF33">
        <v>0</v>
      </c>
      <c r="AG33">
        <v>18.38</v>
      </c>
      <c r="AH33">
        <v>7.45</v>
      </c>
      <c r="AI33">
        <v>209.6</v>
      </c>
      <c r="AJ33">
        <v>91.69</v>
      </c>
      <c r="AK33">
        <v>110.46</v>
      </c>
      <c r="AL33">
        <v>52.7</v>
      </c>
      <c r="AM33">
        <v>1821.74</v>
      </c>
      <c r="AN33" t="b">
        <v>1</v>
      </c>
      <c r="AO33">
        <v>3</v>
      </c>
    </row>
    <row r="34" spans="1:41" x14ac:dyDescent="0.35">
      <c r="A34" t="s">
        <v>332</v>
      </c>
      <c r="B34" s="1">
        <v>44228</v>
      </c>
      <c r="C34" s="2">
        <v>0.68285879629629631</v>
      </c>
      <c r="D34" t="s">
        <v>41</v>
      </c>
      <c r="E34" t="s">
        <v>42</v>
      </c>
      <c r="F34" t="s">
        <v>333</v>
      </c>
      <c r="G34" t="s">
        <v>334</v>
      </c>
      <c r="H34">
        <v>74</v>
      </c>
      <c r="I34" t="s">
        <v>43</v>
      </c>
      <c r="J34" t="s">
        <v>44</v>
      </c>
      <c r="K34" t="s">
        <v>45</v>
      </c>
      <c r="L34" t="s">
        <v>335</v>
      </c>
      <c r="M34" t="s">
        <v>331</v>
      </c>
      <c r="N34" t="s">
        <v>117</v>
      </c>
      <c r="O34" t="s">
        <v>70</v>
      </c>
      <c r="P34">
        <v>57947</v>
      </c>
      <c r="Q34" t="s">
        <v>49</v>
      </c>
      <c r="R34" t="s">
        <v>50</v>
      </c>
      <c r="S34" t="s">
        <v>119</v>
      </c>
      <c r="T34" t="s">
        <v>71</v>
      </c>
      <c r="U34" t="s">
        <v>92</v>
      </c>
      <c r="V34" t="s">
        <v>54</v>
      </c>
      <c r="W34" t="s">
        <v>41</v>
      </c>
      <c r="X34" t="s">
        <v>176</v>
      </c>
      <c r="Y34" t="s">
        <v>74</v>
      </c>
      <c r="Z34" t="s">
        <v>75</v>
      </c>
      <c r="AA34" t="s">
        <v>336</v>
      </c>
      <c r="AB34">
        <v>0</v>
      </c>
      <c r="AC34">
        <v>0</v>
      </c>
      <c r="AD34">
        <v>3</v>
      </c>
      <c r="AE34">
        <v>1812.89</v>
      </c>
      <c r="AF34">
        <v>0</v>
      </c>
      <c r="AG34">
        <v>181.29</v>
      </c>
      <c r="AH34">
        <v>4.42</v>
      </c>
      <c r="AI34">
        <v>1998.6</v>
      </c>
      <c r="AJ34">
        <v>942.73</v>
      </c>
      <c r="AK34">
        <v>1051.45</v>
      </c>
      <c r="AL34">
        <v>52.61</v>
      </c>
      <c r="AM34">
        <v>4107.9799999999996</v>
      </c>
      <c r="AN34" t="b">
        <v>1</v>
      </c>
      <c r="AO34">
        <v>5</v>
      </c>
    </row>
    <row r="35" spans="1:41" x14ac:dyDescent="0.35">
      <c r="A35" t="s">
        <v>340</v>
      </c>
      <c r="B35" s="1">
        <v>44508</v>
      </c>
      <c r="C35" s="2">
        <v>0.7887615740740741</v>
      </c>
      <c r="D35" t="s">
        <v>41</v>
      </c>
      <c r="E35" t="s">
        <v>42</v>
      </c>
      <c r="F35" t="s">
        <v>341</v>
      </c>
      <c r="G35" t="s">
        <v>342</v>
      </c>
      <c r="H35">
        <v>69</v>
      </c>
      <c r="I35" t="s">
        <v>43</v>
      </c>
      <c r="J35" t="s">
        <v>88</v>
      </c>
      <c r="K35" t="s">
        <v>45</v>
      </c>
      <c r="L35" t="s">
        <v>343</v>
      </c>
      <c r="M35" t="s">
        <v>198</v>
      </c>
      <c r="N35" t="s">
        <v>47</v>
      </c>
      <c r="O35" t="s">
        <v>70</v>
      </c>
      <c r="P35">
        <v>18652</v>
      </c>
      <c r="Q35" t="s">
        <v>113</v>
      </c>
      <c r="R35" t="s">
        <v>50</v>
      </c>
      <c r="S35" t="s">
        <v>51</v>
      </c>
      <c r="T35" t="s">
        <v>52</v>
      </c>
      <c r="U35" t="s">
        <v>114</v>
      </c>
      <c r="V35" t="s">
        <v>54</v>
      </c>
      <c r="W35" t="s">
        <v>41</v>
      </c>
      <c r="X35" t="s">
        <v>176</v>
      </c>
      <c r="Y35" t="s">
        <v>99</v>
      </c>
      <c r="Z35" t="s">
        <v>57</v>
      </c>
      <c r="AA35" t="s">
        <v>336</v>
      </c>
      <c r="AB35">
        <v>0</v>
      </c>
      <c r="AC35">
        <v>0</v>
      </c>
      <c r="AD35">
        <v>6</v>
      </c>
      <c r="AE35">
        <v>3071.26</v>
      </c>
      <c r="AF35">
        <v>0</v>
      </c>
      <c r="AG35">
        <v>214.99</v>
      </c>
      <c r="AH35">
        <v>26.76</v>
      </c>
      <c r="AI35">
        <v>3313.01</v>
      </c>
      <c r="AJ35">
        <v>1689.96</v>
      </c>
      <c r="AK35">
        <v>1596.29</v>
      </c>
      <c r="AL35">
        <v>48.18</v>
      </c>
      <c r="AM35">
        <v>11593.44</v>
      </c>
      <c r="AN35" t="b">
        <v>1</v>
      </c>
      <c r="AO35">
        <v>7</v>
      </c>
    </row>
    <row r="36" spans="1:41" x14ac:dyDescent="0.35">
      <c r="A36" t="s">
        <v>344</v>
      </c>
      <c r="B36" s="1">
        <v>45850</v>
      </c>
      <c r="C36" s="2">
        <v>3.996527777777778E-2</v>
      </c>
      <c r="D36" t="s">
        <v>41</v>
      </c>
      <c r="E36" t="s">
        <v>42</v>
      </c>
      <c r="F36" t="s">
        <v>345</v>
      </c>
      <c r="G36" t="s">
        <v>346</v>
      </c>
      <c r="H36">
        <v>51</v>
      </c>
      <c r="I36" t="s">
        <v>43</v>
      </c>
      <c r="J36" t="s">
        <v>88</v>
      </c>
      <c r="K36" t="s">
        <v>152</v>
      </c>
      <c r="L36" t="s">
        <v>347</v>
      </c>
      <c r="M36" t="s">
        <v>348</v>
      </c>
      <c r="N36" t="s">
        <v>338</v>
      </c>
      <c r="O36" t="s">
        <v>80</v>
      </c>
      <c r="P36">
        <v>95309</v>
      </c>
      <c r="Q36" t="s">
        <v>96</v>
      </c>
      <c r="R36" t="s">
        <v>50</v>
      </c>
      <c r="S36" t="s">
        <v>339</v>
      </c>
      <c r="T36" t="s">
        <v>52</v>
      </c>
      <c r="U36" t="s">
        <v>114</v>
      </c>
      <c r="V36" t="s">
        <v>54</v>
      </c>
      <c r="W36" t="s">
        <v>41</v>
      </c>
      <c r="X36" t="s">
        <v>84</v>
      </c>
      <c r="Y36" t="s">
        <v>56</v>
      </c>
      <c r="Z36" t="s">
        <v>57</v>
      </c>
      <c r="AA36" t="s">
        <v>167</v>
      </c>
      <c r="AB36">
        <v>0</v>
      </c>
      <c r="AC36">
        <v>0</v>
      </c>
      <c r="AD36">
        <v>9</v>
      </c>
      <c r="AE36">
        <v>2209.75</v>
      </c>
      <c r="AF36">
        <v>0</v>
      </c>
      <c r="AG36">
        <v>397.76</v>
      </c>
      <c r="AH36">
        <v>31.63</v>
      </c>
      <c r="AI36">
        <v>2639.14</v>
      </c>
      <c r="AJ36">
        <v>925.87</v>
      </c>
      <c r="AK36">
        <v>1681.64</v>
      </c>
      <c r="AL36">
        <v>63.72</v>
      </c>
      <c r="AM36">
        <v>3800.13</v>
      </c>
      <c r="AN36" t="b">
        <v>1</v>
      </c>
      <c r="AO36">
        <v>3</v>
      </c>
    </row>
    <row r="37" spans="1:41" x14ac:dyDescent="0.35">
      <c r="A37" t="s">
        <v>350</v>
      </c>
      <c r="B37" s="1">
        <v>45658</v>
      </c>
      <c r="C37" s="2">
        <v>0.6821990740740741</v>
      </c>
      <c r="D37" t="s">
        <v>41</v>
      </c>
      <c r="E37" t="s">
        <v>42</v>
      </c>
      <c r="F37" t="s">
        <v>351</v>
      </c>
      <c r="G37" t="s">
        <v>352</v>
      </c>
      <c r="H37">
        <v>27</v>
      </c>
      <c r="I37" t="s">
        <v>43</v>
      </c>
      <c r="J37" t="s">
        <v>68</v>
      </c>
      <c r="K37" t="s">
        <v>45</v>
      </c>
      <c r="L37" t="s">
        <v>353</v>
      </c>
      <c r="M37" t="s">
        <v>46</v>
      </c>
      <c r="N37" t="s">
        <v>47</v>
      </c>
      <c r="O37" t="s">
        <v>48</v>
      </c>
      <c r="P37">
        <v>56374</v>
      </c>
      <c r="Q37" t="s">
        <v>137</v>
      </c>
      <c r="R37" t="s">
        <v>50</v>
      </c>
      <c r="S37" t="s">
        <v>51</v>
      </c>
      <c r="T37" t="s">
        <v>52</v>
      </c>
      <c r="U37" t="s">
        <v>83</v>
      </c>
      <c r="V37" t="s">
        <v>54</v>
      </c>
      <c r="W37" t="s">
        <v>41</v>
      </c>
      <c r="X37" t="s">
        <v>156</v>
      </c>
      <c r="Y37" t="s">
        <v>93</v>
      </c>
      <c r="Z37" t="s">
        <v>94</v>
      </c>
      <c r="AA37" t="s">
        <v>167</v>
      </c>
      <c r="AB37">
        <v>0</v>
      </c>
      <c r="AC37">
        <v>0</v>
      </c>
      <c r="AD37">
        <v>1</v>
      </c>
      <c r="AE37">
        <v>75.41</v>
      </c>
      <c r="AF37">
        <v>0</v>
      </c>
      <c r="AG37">
        <v>5.28</v>
      </c>
      <c r="AH37">
        <v>2.57</v>
      </c>
      <c r="AI37">
        <v>83.26</v>
      </c>
      <c r="AJ37">
        <v>27.93</v>
      </c>
      <c r="AK37">
        <v>52.76</v>
      </c>
      <c r="AL37">
        <v>63.37</v>
      </c>
      <c r="AM37">
        <v>3254.66</v>
      </c>
      <c r="AN37" t="b">
        <v>1</v>
      </c>
      <c r="AO37">
        <v>6</v>
      </c>
    </row>
    <row r="38" spans="1:41" x14ac:dyDescent="0.35">
      <c r="A38" t="s">
        <v>354</v>
      </c>
      <c r="B38" s="1">
        <v>45482</v>
      </c>
      <c r="C38" s="2">
        <v>0.47379629629629627</v>
      </c>
      <c r="D38" t="s">
        <v>41</v>
      </c>
      <c r="E38" t="s">
        <v>77</v>
      </c>
      <c r="F38" t="s">
        <v>355</v>
      </c>
      <c r="G38" t="s">
        <v>356</v>
      </c>
      <c r="H38">
        <v>68</v>
      </c>
      <c r="I38" t="s">
        <v>43</v>
      </c>
      <c r="J38" t="s">
        <v>88</v>
      </c>
      <c r="K38" t="s">
        <v>45</v>
      </c>
      <c r="L38" t="s">
        <v>357</v>
      </c>
      <c r="M38" t="s">
        <v>358</v>
      </c>
      <c r="N38" t="s">
        <v>338</v>
      </c>
      <c r="O38" t="s">
        <v>118</v>
      </c>
      <c r="P38">
        <v>33645</v>
      </c>
      <c r="Q38" t="s">
        <v>107</v>
      </c>
      <c r="R38" t="s">
        <v>50</v>
      </c>
      <c r="S38" t="s">
        <v>339</v>
      </c>
      <c r="T38" t="s">
        <v>52</v>
      </c>
      <c r="U38" t="s">
        <v>114</v>
      </c>
      <c r="V38" t="s">
        <v>54</v>
      </c>
      <c r="W38" t="s">
        <v>41</v>
      </c>
      <c r="X38" t="s">
        <v>73</v>
      </c>
      <c r="Y38" t="s">
        <v>93</v>
      </c>
      <c r="Z38" t="s">
        <v>359</v>
      </c>
      <c r="AA38" t="s">
        <v>283</v>
      </c>
      <c r="AB38">
        <v>0</v>
      </c>
      <c r="AC38">
        <v>0</v>
      </c>
      <c r="AD38">
        <v>3</v>
      </c>
      <c r="AE38">
        <v>574.45000000000005</v>
      </c>
      <c r="AF38">
        <v>0</v>
      </c>
      <c r="AG38">
        <v>103.4</v>
      </c>
      <c r="AH38">
        <v>18.579999999999998</v>
      </c>
      <c r="AI38">
        <v>696.43</v>
      </c>
      <c r="AJ38">
        <v>275.23</v>
      </c>
      <c r="AK38">
        <v>402.62</v>
      </c>
      <c r="AL38">
        <v>57.81</v>
      </c>
      <c r="AM38">
        <v>3055.74</v>
      </c>
      <c r="AN38" t="b">
        <v>1</v>
      </c>
      <c r="AO38">
        <v>7</v>
      </c>
    </row>
    <row r="39" spans="1:41" x14ac:dyDescent="0.35">
      <c r="A39" t="s">
        <v>360</v>
      </c>
      <c r="B39" s="1">
        <v>45997</v>
      </c>
      <c r="C39" s="2">
        <v>0.66598379629629634</v>
      </c>
      <c r="D39" t="s">
        <v>41</v>
      </c>
      <c r="E39" t="s">
        <v>77</v>
      </c>
      <c r="F39" t="s">
        <v>361</v>
      </c>
      <c r="G39" t="s">
        <v>362</v>
      </c>
      <c r="H39">
        <v>51</v>
      </c>
      <c r="I39" t="s">
        <v>43</v>
      </c>
      <c r="J39" t="s">
        <v>68</v>
      </c>
      <c r="K39" t="s">
        <v>45</v>
      </c>
      <c r="L39" t="s">
        <v>363</v>
      </c>
      <c r="M39" t="s">
        <v>193</v>
      </c>
      <c r="N39" t="s">
        <v>47</v>
      </c>
      <c r="O39" t="s">
        <v>106</v>
      </c>
      <c r="P39">
        <v>66457</v>
      </c>
      <c r="Q39" t="s">
        <v>107</v>
      </c>
      <c r="R39" t="s">
        <v>50</v>
      </c>
      <c r="S39" t="s">
        <v>51</v>
      </c>
      <c r="T39" t="s">
        <v>82</v>
      </c>
      <c r="U39" t="s">
        <v>143</v>
      </c>
      <c r="V39" t="s">
        <v>54</v>
      </c>
      <c r="W39" t="s">
        <v>41</v>
      </c>
      <c r="X39" t="s">
        <v>55</v>
      </c>
      <c r="Y39" t="s">
        <v>85</v>
      </c>
      <c r="Z39" t="s">
        <v>146</v>
      </c>
      <c r="AA39" t="s">
        <v>162</v>
      </c>
      <c r="AB39">
        <v>0</v>
      </c>
      <c r="AC39">
        <v>0</v>
      </c>
      <c r="AD39">
        <v>7</v>
      </c>
      <c r="AE39">
        <v>1083.33</v>
      </c>
      <c r="AF39">
        <v>0</v>
      </c>
      <c r="AG39">
        <v>75.84</v>
      </c>
      <c r="AH39">
        <v>26.04</v>
      </c>
      <c r="AI39">
        <v>1185.21</v>
      </c>
      <c r="AJ39">
        <v>527.20000000000005</v>
      </c>
      <c r="AK39">
        <v>631.97</v>
      </c>
      <c r="AL39">
        <v>53.32</v>
      </c>
      <c r="AM39">
        <v>10847.98</v>
      </c>
      <c r="AN39" t="b">
        <v>1</v>
      </c>
      <c r="AO39">
        <v>9</v>
      </c>
    </row>
    <row r="40" spans="1:41" x14ac:dyDescent="0.35">
      <c r="A40" t="s">
        <v>364</v>
      </c>
      <c r="B40" s="1">
        <v>44386</v>
      </c>
      <c r="C40" s="2">
        <v>0.82451388888888888</v>
      </c>
      <c r="D40" t="s">
        <v>41</v>
      </c>
      <c r="E40" t="s">
        <v>59</v>
      </c>
      <c r="F40" t="s">
        <v>365</v>
      </c>
      <c r="G40" t="s">
        <v>366</v>
      </c>
      <c r="H40">
        <v>57</v>
      </c>
      <c r="I40" t="s">
        <v>43</v>
      </c>
      <c r="J40" t="s">
        <v>88</v>
      </c>
      <c r="K40" t="s">
        <v>152</v>
      </c>
      <c r="L40" t="s">
        <v>367</v>
      </c>
      <c r="M40" t="s">
        <v>112</v>
      </c>
      <c r="N40" t="s">
        <v>47</v>
      </c>
      <c r="O40" t="s">
        <v>48</v>
      </c>
      <c r="P40">
        <v>90885</v>
      </c>
      <c r="Q40" t="s">
        <v>113</v>
      </c>
      <c r="R40" t="s">
        <v>50</v>
      </c>
      <c r="S40" t="s">
        <v>51</v>
      </c>
      <c r="T40" t="s">
        <v>52</v>
      </c>
      <c r="U40" t="s">
        <v>97</v>
      </c>
      <c r="V40" t="s">
        <v>54</v>
      </c>
      <c r="W40" t="s">
        <v>41</v>
      </c>
      <c r="X40" t="s">
        <v>176</v>
      </c>
      <c r="Y40" t="s">
        <v>56</v>
      </c>
      <c r="Z40" t="s">
        <v>57</v>
      </c>
      <c r="AA40" t="s">
        <v>140</v>
      </c>
      <c r="AB40">
        <v>0</v>
      </c>
      <c r="AC40">
        <v>0</v>
      </c>
      <c r="AD40">
        <v>5</v>
      </c>
      <c r="AE40">
        <v>599.15</v>
      </c>
      <c r="AF40">
        <v>0</v>
      </c>
      <c r="AG40">
        <v>41.94</v>
      </c>
      <c r="AH40">
        <v>12.48</v>
      </c>
      <c r="AI40">
        <v>653.57000000000005</v>
      </c>
      <c r="AJ40">
        <v>329.33</v>
      </c>
      <c r="AK40">
        <v>311.76</v>
      </c>
      <c r="AL40">
        <v>47.7</v>
      </c>
      <c r="AM40">
        <v>1248.55</v>
      </c>
      <c r="AN40" t="b">
        <v>1</v>
      </c>
      <c r="AO40">
        <v>2</v>
      </c>
    </row>
    <row r="41" spans="1:41" x14ac:dyDescent="0.35">
      <c r="A41" t="s">
        <v>369</v>
      </c>
      <c r="B41" s="1">
        <v>44412</v>
      </c>
      <c r="C41" s="2">
        <v>0.3646759259259259</v>
      </c>
      <c r="D41" t="s">
        <v>41</v>
      </c>
      <c r="E41" t="s">
        <v>77</v>
      </c>
      <c r="F41" t="s">
        <v>370</v>
      </c>
      <c r="G41" t="s">
        <v>371</v>
      </c>
      <c r="H41">
        <v>63</v>
      </c>
      <c r="I41" t="s">
        <v>43</v>
      </c>
      <c r="J41" t="s">
        <v>68</v>
      </c>
      <c r="K41" t="s">
        <v>45</v>
      </c>
      <c r="L41" t="s">
        <v>372</v>
      </c>
      <c r="M41" t="s">
        <v>46</v>
      </c>
      <c r="N41" t="s">
        <v>47</v>
      </c>
      <c r="O41" t="s">
        <v>48</v>
      </c>
      <c r="P41">
        <v>17612</v>
      </c>
      <c r="Q41" t="s">
        <v>113</v>
      </c>
      <c r="R41" t="s">
        <v>50</v>
      </c>
      <c r="S41" t="s">
        <v>51</v>
      </c>
      <c r="T41" t="s">
        <v>82</v>
      </c>
      <c r="U41" t="s">
        <v>92</v>
      </c>
      <c r="V41" t="s">
        <v>54</v>
      </c>
      <c r="W41" t="s">
        <v>41</v>
      </c>
      <c r="X41" t="s">
        <v>73</v>
      </c>
      <c r="Y41" t="s">
        <v>108</v>
      </c>
      <c r="Z41" t="s">
        <v>109</v>
      </c>
      <c r="AA41" t="s">
        <v>100</v>
      </c>
      <c r="AB41">
        <v>0</v>
      </c>
      <c r="AC41">
        <v>0</v>
      </c>
      <c r="AD41">
        <v>7</v>
      </c>
      <c r="AE41">
        <v>2360.12</v>
      </c>
      <c r="AF41">
        <v>0</v>
      </c>
      <c r="AG41">
        <v>165.22</v>
      </c>
      <c r="AH41">
        <v>36.24</v>
      </c>
      <c r="AI41">
        <v>2561.58</v>
      </c>
      <c r="AJ41">
        <v>1177.27</v>
      </c>
      <c r="AK41">
        <v>1348.07</v>
      </c>
      <c r="AL41">
        <v>52.63</v>
      </c>
      <c r="AM41">
        <v>15473.53</v>
      </c>
      <c r="AN41" t="b">
        <v>1</v>
      </c>
      <c r="AO41">
        <v>8</v>
      </c>
    </row>
    <row r="42" spans="1:41" x14ac:dyDescent="0.35">
      <c r="A42" t="s">
        <v>373</v>
      </c>
      <c r="B42" s="1">
        <v>45483</v>
      </c>
      <c r="C42" s="2">
        <v>0.73119212962962965</v>
      </c>
      <c r="D42" t="s">
        <v>41</v>
      </c>
      <c r="E42" t="s">
        <v>42</v>
      </c>
      <c r="F42" t="s">
        <v>374</v>
      </c>
      <c r="G42" t="s">
        <v>375</v>
      </c>
      <c r="H42">
        <v>25</v>
      </c>
      <c r="I42" t="s">
        <v>43</v>
      </c>
      <c r="J42" t="s">
        <v>68</v>
      </c>
      <c r="K42" t="s">
        <v>45</v>
      </c>
      <c r="L42" t="s">
        <v>376</v>
      </c>
      <c r="M42" t="s">
        <v>148</v>
      </c>
      <c r="N42" t="s">
        <v>47</v>
      </c>
      <c r="O42" t="s">
        <v>70</v>
      </c>
      <c r="P42">
        <v>9553</v>
      </c>
      <c r="Q42" t="s">
        <v>63</v>
      </c>
      <c r="R42" t="s">
        <v>50</v>
      </c>
      <c r="S42" t="s">
        <v>51</v>
      </c>
      <c r="T42" t="s">
        <v>52</v>
      </c>
      <c r="U42" t="s">
        <v>243</v>
      </c>
      <c r="V42" t="s">
        <v>54</v>
      </c>
      <c r="W42" t="s">
        <v>41</v>
      </c>
      <c r="X42" t="s">
        <v>73</v>
      </c>
      <c r="Y42" t="s">
        <v>99</v>
      </c>
      <c r="Z42" t="s">
        <v>57</v>
      </c>
      <c r="AA42" t="s">
        <v>159</v>
      </c>
      <c r="AB42">
        <v>0</v>
      </c>
      <c r="AC42">
        <v>0</v>
      </c>
      <c r="AD42">
        <v>1</v>
      </c>
      <c r="AE42">
        <v>149.31</v>
      </c>
      <c r="AF42">
        <v>0</v>
      </c>
      <c r="AG42">
        <v>10.45</v>
      </c>
      <c r="AH42">
        <v>2.52</v>
      </c>
      <c r="AI42">
        <v>162.28</v>
      </c>
      <c r="AJ42">
        <v>49.99</v>
      </c>
      <c r="AK42">
        <v>109.77</v>
      </c>
      <c r="AL42">
        <v>67.64</v>
      </c>
      <c r="AM42">
        <v>6854.25</v>
      </c>
      <c r="AN42" t="b">
        <v>1</v>
      </c>
      <c r="AO42">
        <v>8</v>
      </c>
    </row>
    <row r="43" spans="1:41" x14ac:dyDescent="0.35">
      <c r="A43" t="s">
        <v>377</v>
      </c>
      <c r="B43" s="1">
        <v>44993</v>
      </c>
      <c r="C43" s="2">
        <v>0.23271990740740742</v>
      </c>
      <c r="D43" t="s">
        <v>41</v>
      </c>
      <c r="E43" t="s">
        <v>42</v>
      </c>
      <c r="F43" t="s">
        <v>378</v>
      </c>
      <c r="G43" t="s">
        <v>379</v>
      </c>
      <c r="H43">
        <v>41</v>
      </c>
      <c r="I43" t="s">
        <v>43</v>
      </c>
      <c r="J43" t="s">
        <v>88</v>
      </c>
      <c r="K43" t="s">
        <v>45</v>
      </c>
      <c r="L43" t="s">
        <v>380</v>
      </c>
      <c r="M43" t="s">
        <v>79</v>
      </c>
      <c r="N43" t="s">
        <v>47</v>
      </c>
      <c r="O43" t="s">
        <v>80</v>
      </c>
      <c r="P43">
        <v>82358</v>
      </c>
      <c r="Q43" t="s">
        <v>81</v>
      </c>
      <c r="R43" t="s">
        <v>50</v>
      </c>
      <c r="S43" t="s">
        <v>51</v>
      </c>
      <c r="T43" t="s">
        <v>52</v>
      </c>
      <c r="U43" t="s">
        <v>92</v>
      </c>
      <c r="V43" t="s">
        <v>54</v>
      </c>
      <c r="W43" t="s">
        <v>41</v>
      </c>
      <c r="X43" t="s">
        <v>176</v>
      </c>
      <c r="Y43" t="s">
        <v>131</v>
      </c>
      <c r="Z43" t="s">
        <v>132</v>
      </c>
      <c r="AA43" t="s">
        <v>87</v>
      </c>
      <c r="AB43">
        <v>0</v>
      </c>
      <c r="AC43">
        <v>0</v>
      </c>
      <c r="AD43">
        <v>5</v>
      </c>
      <c r="AE43">
        <v>465.05</v>
      </c>
      <c r="AF43">
        <v>0</v>
      </c>
      <c r="AG43">
        <v>32.549999999999997</v>
      </c>
      <c r="AH43">
        <v>41.45</v>
      </c>
      <c r="AI43">
        <v>539.04999999999995</v>
      </c>
      <c r="AJ43">
        <v>208.97</v>
      </c>
      <c r="AK43">
        <v>288.63</v>
      </c>
      <c r="AL43">
        <v>53.54</v>
      </c>
      <c r="AM43">
        <v>6834.46</v>
      </c>
      <c r="AN43" t="b">
        <v>1</v>
      </c>
      <c r="AO43">
        <v>6</v>
      </c>
    </row>
    <row r="44" spans="1:41" x14ac:dyDescent="0.35">
      <c r="A44" t="s">
        <v>381</v>
      </c>
      <c r="B44" s="1">
        <v>44266</v>
      </c>
      <c r="C44" s="2">
        <v>0.45155092592592594</v>
      </c>
      <c r="D44" t="s">
        <v>41</v>
      </c>
      <c r="E44" t="s">
        <v>111</v>
      </c>
      <c r="F44" t="s">
        <v>382</v>
      </c>
      <c r="G44" t="s">
        <v>383</v>
      </c>
      <c r="H44">
        <v>43</v>
      </c>
      <c r="I44" t="s">
        <v>78</v>
      </c>
      <c r="J44" t="s">
        <v>88</v>
      </c>
      <c r="K44" t="s">
        <v>45</v>
      </c>
      <c r="L44" t="s">
        <v>384</v>
      </c>
      <c r="M44" t="s">
        <v>368</v>
      </c>
      <c r="N44" t="s">
        <v>62</v>
      </c>
      <c r="O44" t="s">
        <v>118</v>
      </c>
      <c r="P44">
        <v>34565</v>
      </c>
      <c r="Q44" t="s">
        <v>113</v>
      </c>
      <c r="R44" t="s">
        <v>50</v>
      </c>
      <c r="S44" t="s">
        <v>64</v>
      </c>
      <c r="T44" t="s">
        <v>52</v>
      </c>
      <c r="U44" t="s">
        <v>324</v>
      </c>
      <c r="V44" t="s">
        <v>54</v>
      </c>
      <c r="W44" t="s">
        <v>41</v>
      </c>
      <c r="X44" t="s">
        <v>261</v>
      </c>
      <c r="Y44" t="s">
        <v>212</v>
      </c>
      <c r="Z44" t="s">
        <v>228</v>
      </c>
      <c r="AA44" t="s">
        <v>325</v>
      </c>
      <c r="AB44">
        <v>0</v>
      </c>
      <c r="AC44">
        <v>0</v>
      </c>
      <c r="AD44">
        <v>6</v>
      </c>
      <c r="AE44">
        <v>1410.25</v>
      </c>
      <c r="AF44">
        <v>0</v>
      </c>
      <c r="AG44">
        <v>267.95</v>
      </c>
      <c r="AH44">
        <v>14.74</v>
      </c>
      <c r="AI44">
        <v>1692.94</v>
      </c>
      <c r="AJ44">
        <v>511.81</v>
      </c>
      <c r="AK44">
        <v>1166.3900000000001</v>
      </c>
      <c r="AL44">
        <v>68.900000000000006</v>
      </c>
      <c r="AM44">
        <v>6604.09</v>
      </c>
      <c r="AN44" t="b">
        <v>1</v>
      </c>
      <c r="AO44">
        <v>7</v>
      </c>
    </row>
    <row r="45" spans="1:41" x14ac:dyDescent="0.35">
      <c r="A45" t="s">
        <v>385</v>
      </c>
      <c r="B45" s="1">
        <v>45749</v>
      </c>
      <c r="C45" s="2">
        <v>1.9976851851851853E-2</v>
      </c>
      <c r="D45" t="s">
        <v>41</v>
      </c>
      <c r="E45" t="s">
        <v>111</v>
      </c>
      <c r="F45" t="s">
        <v>386</v>
      </c>
      <c r="G45" t="s">
        <v>387</v>
      </c>
      <c r="H45">
        <v>31</v>
      </c>
      <c r="I45" t="s">
        <v>78</v>
      </c>
      <c r="J45" t="s">
        <v>88</v>
      </c>
      <c r="K45" t="s">
        <v>45</v>
      </c>
      <c r="L45" t="s">
        <v>388</v>
      </c>
      <c r="M45" t="s">
        <v>204</v>
      </c>
      <c r="N45" t="s">
        <v>123</v>
      </c>
      <c r="O45" t="s">
        <v>80</v>
      </c>
      <c r="P45">
        <v>58182</v>
      </c>
      <c r="Q45" t="s">
        <v>137</v>
      </c>
      <c r="R45" t="s">
        <v>50</v>
      </c>
      <c r="S45" t="s">
        <v>124</v>
      </c>
      <c r="T45" t="s">
        <v>65</v>
      </c>
      <c r="U45" t="s">
        <v>53</v>
      </c>
      <c r="V45" t="s">
        <v>54</v>
      </c>
      <c r="W45" t="s">
        <v>41</v>
      </c>
      <c r="X45" t="s">
        <v>261</v>
      </c>
      <c r="Y45" t="s">
        <v>108</v>
      </c>
      <c r="Z45" t="s">
        <v>109</v>
      </c>
      <c r="AA45" t="s">
        <v>87</v>
      </c>
      <c r="AB45">
        <v>0</v>
      </c>
      <c r="AC45">
        <v>0</v>
      </c>
      <c r="AD45">
        <v>2</v>
      </c>
      <c r="AE45">
        <v>469.07</v>
      </c>
      <c r="AF45">
        <v>0</v>
      </c>
      <c r="AG45">
        <v>93.82</v>
      </c>
      <c r="AH45">
        <v>24.97</v>
      </c>
      <c r="AI45">
        <v>587.86</v>
      </c>
      <c r="AJ45">
        <v>179.97</v>
      </c>
      <c r="AK45">
        <v>382.92</v>
      </c>
      <c r="AL45">
        <v>65.14</v>
      </c>
      <c r="AM45">
        <v>4048.44</v>
      </c>
      <c r="AN45" t="b">
        <v>1</v>
      </c>
      <c r="AO45">
        <v>7</v>
      </c>
    </row>
    <row r="46" spans="1:41" x14ac:dyDescent="0.35">
      <c r="A46" t="s">
        <v>389</v>
      </c>
      <c r="B46" s="1">
        <v>45778</v>
      </c>
      <c r="C46" s="2">
        <v>0.90528935185185189</v>
      </c>
      <c r="D46" t="s">
        <v>41</v>
      </c>
      <c r="E46" t="s">
        <v>42</v>
      </c>
      <c r="F46" t="s">
        <v>390</v>
      </c>
      <c r="G46" t="s">
        <v>391</v>
      </c>
      <c r="H46">
        <v>67</v>
      </c>
      <c r="I46" t="s">
        <v>78</v>
      </c>
      <c r="J46" t="s">
        <v>68</v>
      </c>
      <c r="K46" t="s">
        <v>45</v>
      </c>
      <c r="L46" t="s">
        <v>392</v>
      </c>
      <c r="M46" t="s">
        <v>105</v>
      </c>
      <c r="N46" t="s">
        <v>47</v>
      </c>
      <c r="O46" t="s">
        <v>106</v>
      </c>
      <c r="P46">
        <v>14055</v>
      </c>
      <c r="Q46" t="s">
        <v>113</v>
      </c>
      <c r="R46" t="s">
        <v>50</v>
      </c>
      <c r="S46" t="s">
        <v>51</v>
      </c>
      <c r="T46" t="s">
        <v>71</v>
      </c>
      <c r="U46" t="s">
        <v>324</v>
      </c>
      <c r="V46" t="s">
        <v>54</v>
      </c>
      <c r="W46" t="s">
        <v>41</v>
      </c>
      <c r="X46" t="s">
        <v>156</v>
      </c>
      <c r="Y46" t="s">
        <v>349</v>
      </c>
      <c r="Z46" t="s">
        <v>57</v>
      </c>
      <c r="AA46" t="s">
        <v>87</v>
      </c>
      <c r="AB46">
        <v>0</v>
      </c>
      <c r="AC46">
        <v>0</v>
      </c>
      <c r="AD46">
        <v>11</v>
      </c>
      <c r="AE46">
        <v>3378.31</v>
      </c>
      <c r="AF46">
        <v>0</v>
      </c>
      <c r="AG46">
        <v>236.47</v>
      </c>
      <c r="AH46">
        <v>10.199999999999999</v>
      </c>
      <c r="AI46">
        <v>3624.98</v>
      </c>
      <c r="AJ46">
        <v>1992.26</v>
      </c>
      <c r="AK46">
        <v>1622.52</v>
      </c>
      <c r="AL46">
        <v>44.76</v>
      </c>
      <c r="AM46">
        <v>11446.56</v>
      </c>
      <c r="AN46" t="b">
        <v>1</v>
      </c>
      <c r="AO46">
        <v>9</v>
      </c>
    </row>
    <row r="47" spans="1:41" x14ac:dyDescent="0.35">
      <c r="A47" t="s">
        <v>393</v>
      </c>
      <c r="B47" s="1">
        <v>44541</v>
      </c>
      <c r="C47" s="2">
        <v>0.80192129629629627</v>
      </c>
      <c r="D47" t="s">
        <v>41</v>
      </c>
      <c r="E47" t="s">
        <v>42</v>
      </c>
      <c r="F47" t="s">
        <v>394</v>
      </c>
      <c r="G47" t="s">
        <v>395</v>
      </c>
      <c r="H47">
        <v>66</v>
      </c>
      <c r="I47" t="s">
        <v>78</v>
      </c>
      <c r="J47" t="s">
        <v>88</v>
      </c>
      <c r="K47" t="s">
        <v>45</v>
      </c>
      <c r="L47" t="s">
        <v>396</v>
      </c>
      <c r="M47" t="s">
        <v>112</v>
      </c>
      <c r="N47" t="s">
        <v>47</v>
      </c>
      <c r="O47" t="s">
        <v>48</v>
      </c>
      <c r="P47">
        <v>98190</v>
      </c>
      <c r="Q47" t="s">
        <v>49</v>
      </c>
      <c r="R47" t="s">
        <v>50</v>
      </c>
      <c r="S47" t="s">
        <v>51</v>
      </c>
      <c r="T47" t="s">
        <v>65</v>
      </c>
      <c r="U47" t="s">
        <v>114</v>
      </c>
      <c r="V47" t="s">
        <v>54</v>
      </c>
      <c r="W47" t="s">
        <v>41</v>
      </c>
      <c r="X47" t="s">
        <v>98</v>
      </c>
      <c r="Y47" t="s">
        <v>108</v>
      </c>
      <c r="Z47" t="s">
        <v>109</v>
      </c>
      <c r="AA47" t="s">
        <v>203</v>
      </c>
      <c r="AB47">
        <v>0</v>
      </c>
      <c r="AC47">
        <v>0</v>
      </c>
      <c r="AD47">
        <v>4</v>
      </c>
      <c r="AE47">
        <v>1028.8599999999999</v>
      </c>
      <c r="AF47">
        <v>0</v>
      </c>
      <c r="AG47">
        <v>72.03</v>
      </c>
      <c r="AH47">
        <v>20.73</v>
      </c>
      <c r="AI47">
        <v>1121.6199999999999</v>
      </c>
      <c r="AJ47">
        <v>342.52</v>
      </c>
      <c r="AK47">
        <v>758.37</v>
      </c>
      <c r="AL47">
        <v>67.61</v>
      </c>
      <c r="AM47">
        <v>8165.39</v>
      </c>
      <c r="AN47" t="b">
        <v>1</v>
      </c>
      <c r="AO47">
        <v>12</v>
      </c>
    </row>
    <row r="48" spans="1:41" x14ac:dyDescent="0.35">
      <c r="A48" t="s">
        <v>397</v>
      </c>
      <c r="B48" s="1">
        <v>44604</v>
      </c>
      <c r="C48" s="2">
        <v>0.53836805555555556</v>
      </c>
      <c r="D48" t="s">
        <v>41</v>
      </c>
      <c r="E48" t="s">
        <v>111</v>
      </c>
      <c r="F48" t="s">
        <v>398</v>
      </c>
      <c r="G48" t="s">
        <v>399</v>
      </c>
      <c r="H48">
        <v>60</v>
      </c>
      <c r="I48" t="s">
        <v>173</v>
      </c>
      <c r="J48" t="s">
        <v>60</v>
      </c>
      <c r="K48" t="s">
        <v>45</v>
      </c>
      <c r="L48" t="s">
        <v>400</v>
      </c>
      <c r="M48" t="s">
        <v>293</v>
      </c>
      <c r="N48" t="s">
        <v>123</v>
      </c>
      <c r="O48" t="s">
        <v>118</v>
      </c>
      <c r="P48">
        <v>67501</v>
      </c>
      <c r="Q48" t="s">
        <v>113</v>
      </c>
      <c r="R48" t="s">
        <v>50</v>
      </c>
      <c r="S48" t="s">
        <v>124</v>
      </c>
      <c r="T48" t="s">
        <v>82</v>
      </c>
      <c r="U48" t="s">
        <v>97</v>
      </c>
      <c r="V48" t="s">
        <v>54</v>
      </c>
      <c r="W48" t="s">
        <v>41</v>
      </c>
      <c r="X48" t="s">
        <v>98</v>
      </c>
      <c r="Y48" t="s">
        <v>56</v>
      </c>
      <c r="Z48" t="s">
        <v>57</v>
      </c>
      <c r="AA48" t="s">
        <v>121</v>
      </c>
      <c r="AB48">
        <v>0</v>
      </c>
      <c r="AC48">
        <v>0</v>
      </c>
      <c r="AD48">
        <v>5</v>
      </c>
      <c r="AE48">
        <v>935.12</v>
      </c>
      <c r="AF48">
        <v>0</v>
      </c>
      <c r="AG48">
        <v>187.03</v>
      </c>
      <c r="AH48">
        <v>27.59</v>
      </c>
      <c r="AI48">
        <v>1149.74</v>
      </c>
      <c r="AJ48">
        <v>301.79000000000002</v>
      </c>
      <c r="AK48">
        <v>820.36</v>
      </c>
      <c r="AL48">
        <v>71.349999999999994</v>
      </c>
      <c r="AM48">
        <v>19060.72</v>
      </c>
      <c r="AN48" t="b">
        <v>1</v>
      </c>
      <c r="AO48">
        <v>9</v>
      </c>
    </row>
    <row r="49" spans="1:41" x14ac:dyDescent="0.35">
      <c r="A49" t="s">
        <v>404</v>
      </c>
      <c r="B49" s="1">
        <v>45546</v>
      </c>
      <c r="C49" s="2">
        <v>0.95428240740740744</v>
      </c>
      <c r="D49" t="s">
        <v>41</v>
      </c>
      <c r="E49" t="s">
        <v>42</v>
      </c>
      <c r="F49" t="s">
        <v>405</v>
      </c>
      <c r="G49" t="s">
        <v>406</v>
      </c>
      <c r="H49">
        <v>23</v>
      </c>
      <c r="I49" t="s">
        <v>78</v>
      </c>
      <c r="J49" t="s">
        <v>88</v>
      </c>
      <c r="K49" t="s">
        <v>45</v>
      </c>
      <c r="L49" t="s">
        <v>407</v>
      </c>
      <c r="M49" t="s">
        <v>105</v>
      </c>
      <c r="N49" t="s">
        <v>47</v>
      </c>
      <c r="O49" t="s">
        <v>106</v>
      </c>
      <c r="P49">
        <v>13154</v>
      </c>
      <c r="Q49" t="s">
        <v>63</v>
      </c>
      <c r="R49" t="s">
        <v>50</v>
      </c>
      <c r="S49" t="s">
        <v>51</v>
      </c>
      <c r="T49" t="s">
        <v>65</v>
      </c>
      <c r="U49" t="s">
        <v>143</v>
      </c>
      <c r="V49" t="s">
        <v>54</v>
      </c>
      <c r="W49" t="s">
        <v>41</v>
      </c>
      <c r="X49" t="s">
        <v>156</v>
      </c>
      <c r="Y49" t="s">
        <v>56</v>
      </c>
      <c r="Z49" t="s">
        <v>57</v>
      </c>
      <c r="AA49" t="s">
        <v>178</v>
      </c>
      <c r="AB49">
        <v>0</v>
      </c>
      <c r="AC49">
        <v>0</v>
      </c>
      <c r="AD49">
        <v>7</v>
      </c>
      <c r="AE49">
        <v>2716.1</v>
      </c>
      <c r="AF49">
        <v>0</v>
      </c>
      <c r="AG49">
        <v>190.13</v>
      </c>
      <c r="AH49">
        <v>39.51</v>
      </c>
      <c r="AI49">
        <v>2945.74</v>
      </c>
      <c r="AJ49">
        <v>1399.23</v>
      </c>
      <c r="AK49">
        <v>1507</v>
      </c>
      <c r="AL49">
        <v>51.16</v>
      </c>
      <c r="AM49">
        <v>8072.95</v>
      </c>
      <c r="AN49" t="b">
        <v>1</v>
      </c>
      <c r="AO49">
        <v>7</v>
      </c>
    </row>
    <row r="50" spans="1:41" x14ac:dyDescent="0.35">
      <c r="A50" t="s">
        <v>408</v>
      </c>
      <c r="B50" s="1">
        <v>44504</v>
      </c>
      <c r="C50" s="2">
        <v>0.9915046296296296</v>
      </c>
      <c r="D50" t="s">
        <v>41</v>
      </c>
      <c r="E50" t="s">
        <v>77</v>
      </c>
      <c r="F50" t="s">
        <v>409</v>
      </c>
      <c r="G50" t="s">
        <v>410</v>
      </c>
      <c r="H50">
        <v>56</v>
      </c>
      <c r="I50" t="s">
        <v>78</v>
      </c>
      <c r="J50" t="s">
        <v>88</v>
      </c>
      <c r="K50" t="s">
        <v>45</v>
      </c>
      <c r="L50" t="s">
        <v>411</v>
      </c>
      <c r="M50" t="s">
        <v>198</v>
      </c>
      <c r="N50" t="s">
        <v>47</v>
      </c>
      <c r="O50" t="s">
        <v>70</v>
      </c>
      <c r="P50">
        <v>61012</v>
      </c>
      <c r="Q50" t="s">
        <v>137</v>
      </c>
      <c r="R50" t="s">
        <v>50</v>
      </c>
      <c r="S50" t="s">
        <v>51</v>
      </c>
      <c r="T50" t="s">
        <v>71</v>
      </c>
      <c r="U50" t="s">
        <v>143</v>
      </c>
      <c r="V50" t="s">
        <v>54</v>
      </c>
      <c r="W50" t="s">
        <v>41</v>
      </c>
      <c r="X50" t="s">
        <v>55</v>
      </c>
      <c r="Y50" t="s">
        <v>99</v>
      </c>
      <c r="Z50" t="s">
        <v>57</v>
      </c>
      <c r="AA50" t="s">
        <v>309</v>
      </c>
      <c r="AB50">
        <v>0</v>
      </c>
      <c r="AC50">
        <v>0</v>
      </c>
      <c r="AD50">
        <v>6</v>
      </c>
      <c r="AE50">
        <v>1407.02</v>
      </c>
      <c r="AF50">
        <v>0</v>
      </c>
      <c r="AG50">
        <v>98.49</v>
      </c>
      <c r="AH50">
        <v>42.39</v>
      </c>
      <c r="AI50">
        <v>1547.9</v>
      </c>
      <c r="AJ50">
        <v>774.49</v>
      </c>
      <c r="AK50">
        <v>731.02</v>
      </c>
      <c r="AL50">
        <v>47.23</v>
      </c>
      <c r="AM50">
        <v>6421.42</v>
      </c>
      <c r="AN50" t="b">
        <v>1</v>
      </c>
      <c r="AO50">
        <v>8</v>
      </c>
    </row>
    <row r="51" spans="1:41" x14ac:dyDescent="0.35">
      <c r="A51" t="s">
        <v>412</v>
      </c>
      <c r="B51" s="1">
        <v>45785</v>
      </c>
      <c r="C51" s="2">
        <v>0.48696759259259259</v>
      </c>
      <c r="D51" t="s">
        <v>41</v>
      </c>
      <c r="E51" t="s">
        <v>77</v>
      </c>
      <c r="F51" t="s">
        <v>413</v>
      </c>
      <c r="G51" t="s">
        <v>414</v>
      </c>
      <c r="H51">
        <v>34</v>
      </c>
      <c r="I51" t="s">
        <v>78</v>
      </c>
      <c r="J51" t="s">
        <v>68</v>
      </c>
      <c r="K51" t="s">
        <v>45</v>
      </c>
      <c r="L51" t="s">
        <v>415</v>
      </c>
      <c r="M51" t="s">
        <v>174</v>
      </c>
      <c r="N51" t="s">
        <v>117</v>
      </c>
      <c r="O51" t="s">
        <v>70</v>
      </c>
      <c r="P51">
        <v>30773</v>
      </c>
      <c r="Q51" t="s">
        <v>107</v>
      </c>
      <c r="R51" t="s">
        <v>50</v>
      </c>
      <c r="S51" t="s">
        <v>119</v>
      </c>
      <c r="T51" t="s">
        <v>52</v>
      </c>
      <c r="U51" t="s">
        <v>120</v>
      </c>
      <c r="V51" t="s">
        <v>54</v>
      </c>
      <c r="W51" t="s">
        <v>41</v>
      </c>
      <c r="X51" t="s">
        <v>172</v>
      </c>
      <c r="Y51" t="s">
        <v>99</v>
      </c>
      <c r="Z51" t="s">
        <v>57</v>
      </c>
      <c r="AA51" t="s">
        <v>416</v>
      </c>
      <c r="AB51">
        <v>0</v>
      </c>
      <c r="AC51">
        <v>0</v>
      </c>
      <c r="AD51">
        <v>6</v>
      </c>
      <c r="AE51">
        <v>1615.07</v>
      </c>
      <c r="AF51">
        <v>0</v>
      </c>
      <c r="AG51">
        <v>161.51</v>
      </c>
      <c r="AH51">
        <v>44.6</v>
      </c>
      <c r="AI51">
        <v>1821.18</v>
      </c>
      <c r="AJ51">
        <v>985.86</v>
      </c>
      <c r="AK51">
        <v>790.72</v>
      </c>
      <c r="AL51">
        <v>43.42</v>
      </c>
      <c r="AM51">
        <v>3328.84</v>
      </c>
      <c r="AN51" t="b">
        <v>1</v>
      </c>
      <c r="AO51">
        <v>4</v>
      </c>
    </row>
    <row r="52" spans="1:41" x14ac:dyDescent="0.35">
      <c r="A52" t="s">
        <v>417</v>
      </c>
      <c r="B52" s="1">
        <v>45725</v>
      </c>
      <c r="C52" s="2">
        <v>0.75733796296296296</v>
      </c>
      <c r="D52" t="s">
        <v>41</v>
      </c>
      <c r="E52" t="s">
        <v>111</v>
      </c>
      <c r="F52" t="s">
        <v>418</v>
      </c>
      <c r="G52" t="s">
        <v>419</v>
      </c>
      <c r="H52">
        <v>63</v>
      </c>
      <c r="I52" t="s">
        <v>78</v>
      </c>
      <c r="J52" t="s">
        <v>88</v>
      </c>
      <c r="K52" t="s">
        <v>45</v>
      </c>
      <c r="L52" t="s">
        <v>420</v>
      </c>
      <c r="M52" t="s">
        <v>205</v>
      </c>
      <c r="N52" t="s">
        <v>62</v>
      </c>
      <c r="O52" t="s">
        <v>80</v>
      </c>
      <c r="P52">
        <v>24304</v>
      </c>
      <c r="Q52" t="s">
        <v>49</v>
      </c>
      <c r="R52" t="s">
        <v>50</v>
      </c>
      <c r="S52" t="s">
        <v>64</v>
      </c>
      <c r="T52" t="s">
        <v>52</v>
      </c>
      <c r="U52" t="s">
        <v>324</v>
      </c>
      <c r="V52" t="s">
        <v>54</v>
      </c>
      <c r="W52" t="s">
        <v>41</v>
      </c>
      <c r="X52" t="s">
        <v>84</v>
      </c>
      <c r="Y52" t="s">
        <v>93</v>
      </c>
      <c r="Z52" t="s">
        <v>359</v>
      </c>
      <c r="AA52" t="s">
        <v>121</v>
      </c>
      <c r="AB52">
        <v>0</v>
      </c>
      <c r="AC52">
        <v>0</v>
      </c>
      <c r="AD52">
        <v>8</v>
      </c>
      <c r="AE52">
        <v>1669.89</v>
      </c>
      <c r="AF52">
        <v>0</v>
      </c>
      <c r="AG52">
        <v>317.27999999999997</v>
      </c>
      <c r="AH52">
        <v>22.92</v>
      </c>
      <c r="AI52">
        <v>2010.09</v>
      </c>
      <c r="AJ52">
        <v>938.12</v>
      </c>
      <c r="AK52">
        <v>1049.05</v>
      </c>
      <c r="AL52">
        <v>52.19</v>
      </c>
      <c r="AM52">
        <v>10677.43</v>
      </c>
      <c r="AN52" t="b">
        <v>1</v>
      </c>
      <c r="AO52">
        <v>10</v>
      </c>
    </row>
    <row r="53" spans="1:41" x14ac:dyDescent="0.35">
      <c r="A53" t="s">
        <v>421</v>
      </c>
      <c r="B53" s="1">
        <v>45298</v>
      </c>
      <c r="C53" s="2">
        <v>4.2037037037037039E-2</v>
      </c>
      <c r="D53" t="s">
        <v>41</v>
      </c>
      <c r="E53" t="s">
        <v>59</v>
      </c>
      <c r="F53" t="s">
        <v>422</v>
      </c>
      <c r="G53" t="s">
        <v>423</v>
      </c>
      <c r="H53">
        <v>63</v>
      </c>
      <c r="I53" t="s">
        <v>173</v>
      </c>
      <c r="J53" t="s">
        <v>88</v>
      </c>
      <c r="K53" t="s">
        <v>45</v>
      </c>
      <c r="L53" t="s">
        <v>424</v>
      </c>
      <c r="M53" t="s">
        <v>205</v>
      </c>
      <c r="N53" t="s">
        <v>62</v>
      </c>
      <c r="O53" t="s">
        <v>80</v>
      </c>
      <c r="P53">
        <v>98578</v>
      </c>
      <c r="Q53" t="s">
        <v>96</v>
      </c>
      <c r="R53" t="s">
        <v>50</v>
      </c>
      <c r="S53" t="s">
        <v>64</v>
      </c>
      <c r="T53" t="s">
        <v>71</v>
      </c>
      <c r="U53" t="s">
        <v>163</v>
      </c>
      <c r="V53" t="s">
        <v>54</v>
      </c>
      <c r="W53" t="s">
        <v>41</v>
      </c>
      <c r="X53" t="s">
        <v>261</v>
      </c>
      <c r="Y53" t="s">
        <v>131</v>
      </c>
      <c r="Z53" t="s">
        <v>177</v>
      </c>
      <c r="AA53" t="s">
        <v>326</v>
      </c>
      <c r="AB53">
        <v>0</v>
      </c>
      <c r="AC53">
        <v>0</v>
      </c>
      <c r="AD53">
        <v>6</v>
      </c>
      <c r="AE53">
        <v>172.77</v>
      </c>
      <c r="AF53">
        <v>0</v>
      </c>
      <c r="AG53">
        <v>32.83</v>
      </c>
      <c r="AH53">
        <v>7.96</v>
      </c>
      <c r="AI53">
        <v>213.56</v>
      </c>
      <c r="AJ53">
        <v>72.42</v>
      </c>
      <c r="AK53">
        <v>133.18</v>
      </c>
      <c r="AL53">
        <v>62.36</v>
      </c>
      <c r="AM53">
        <v>12140.98</v>
      </c>
      <c r="AN53" t="b">
        <v>1</v>
      </c>
      <c r="AO53">
        <v>8</v>
      </c>
    </row>
    <row r="54" spans="1:41" x14ac:dyDescent="0.35">
      <c r="A54" t="s">
        <v>425</v>
      </c>
      <c r="B54" s="1">
        <v>45083</v>
      </c>
      <c r="C54" s="2">
        <v>0.29084490740740743</v>
      </c>
      <c r="D54" t="s">
        <v>41</v>
      </c>
      <c r="E54" t="s">
        <v>42</v>
      </c>
      <c r="F54" t="s">
        <v>426</v>
      </c>
      <c r="G54" t="s">
        <v>427</v>
      </c>
      <c r="H54">
        <v>48</v>
      </c>
      <c r="I54" t="s">
        <v>78</v>
      </c>
      <c r="J54" t="s">
        <v>88</v>
      </c>
      <c r="K54" t="s">
        <v>45</v>
      </c>
      <c r="L54" t="s">
        <v>428</v>
      </c>
      <c r="M54" t="s">
        <v>293</v>
      </c>
      <c r="N54" t="s">
        <v>123</v>
      </c>
      <c r="O54" t="s">
        <v>118</v>
      </c>
      <c r="P54">
        <v>39622</v>
      </c>
      <c r="Q54" t="s">
        <v>49</v>
      </c>
      <c r="R54" t="s">
        <v>50</v>
      </c>
      <c r="S54" t="s">
        <v>124</v>
      </c>
      <c r="T54" t="s">
        <v>52</v>
      </c>
      <c r="U54" t="s">
        <v>138</v>
      </c>
      <c r="V54" t="s">
        <v>54</v>
      </c>
      <c r="W54" t="s">
        <v>41</v>
      </c>
      <c r="X54" t="s">
        <v>176</v>
      </c>
      <c r="Y54" t="s">
        <v>108</v>
      </c>
      <c r="Z54" t="s">
        <v>157</v>
      </c>
      <c r="AA54" t="s">
        <v>309</v>
      </c>
      <c r="AB54">
        <v>0</v>
      </c>
      <c r="AC54">
        <v>0</v>
      </c>
      <c r="AD54">
        <v>3</v>
      </c>
      <c r="AE54">
        <v>425.77</v>
      </c>
      <c r="AF54">
        <v>0</v>
      </c>
      <c r="AG54">
        <v>85.16</v>
      </c>
      <c r="AH54">
        <v>10.59</v>
      </c>
      <c r="AI54">
        <v>521.52</v>
      </c>
      <c r="AJ54">
        <v>174.39</v>
      </c>
      <c r="AK54">
        <v>336.54</v>
      </c>
      <c r="AL54">
        <v>64.53</v>
      </c>
      <c r="AM54">
        <v>3983.81</v>
      </c>
      <c r="AN54" t="b">
        <v>1</v>
      </c>
      <c r="AO54">
        <v>6</v>
      </c>
    </row>
    <row r="55" spans="1:41" x14ac:dyDescent="0.35">
      <c r="A55" t="s">
        <v>429</v>
      </c>
      <c r="B55" s="1">
        <v>45539</v>
      </c>
      <c r="C55" s="2">
        <v>0.47909722222222223</v>
      </c>
      <c r="D55" t="s">
        <v>41</v>
      </c>
      <c r="E55" t="s">
        <v>77</v>
      </c>
      <c r="F55" t="s">
        <v>430</v>
      </c>
      <c r="G55" t="s">
        <v>431</v>
      </c>
      <c r="H55">
        <v>61</v>
      </c>
      <c r="I55" t="s">
        <v>78</v>
      </c>
      <c r="J55" t="s">
        <v>68</v>
      </c>
      <c r="K55" t="s">
        <v>45</v>
      </c>
      <c r="L55" t="s">
        <v>432</v>
      </c>
      <c r="M55" t="s">
        <v>193</v>
      </c>
      <c r="N55" t="s">
        <v>47</v>
      </c>
      <c r="O55" t="s">
        <v>106</v>
      </c>
      <c r="P55">
        <v>33871</v>
      </c>
      <c r="Q55" t="s">
        <v>63</v>
      </c>
      <c r="R55" t="s">
        <v>50</v>
      </c>
      <c r="S55" t="s">
        <v>51</v>
      </c>
      <c r="T55" t="s">
        <v>52</v>
      </c>
      <c r="U55" t="s">
        <v>163</v>
      </c>
      <c r="V55" t="s">
        <v>54</v>
      </c>
      <c r="W55" t="s">
        <v>41</v>
      </c>
      <c r="X55" t="s">
        <v>84</v>
      </c>
      <c r="Y55" t="s">
        <v>56</v>
      </c>
      <c r="Z55" t="s">
        <v>57</v>
      </c>
      <c r="AA55" t="s">
        <v>167</v>
      </c>
      <c r="AB55">
        <v>0</v>
      </c>
      <c r="AC55">
        <v>0</v>
      </c>
      <c r="AD55">
        <v>4</v>
      </c>
      <c r="AE55">
        <v>331.44</v>
      </c>
      <c r="AF55">
        <v>0</v>
      </c>
      <c r="AG55">
        <v>23.21</v>
      </c>
      <c r="AH55">
        <v>23.69</v>
      </c>
      <c r="AI55">
        <v>378.34</v>
      </c>
      <c r="AJ55">
        <v>143.47999999999999</v>
      </c>
      <c r="AK55">
        <v>211.17</v>
      </c>
      <c r="AL55">
        <v>55.81</v>
      </c>
      <c r="AM55">
        <v>8916.66</v>
      </c>
      <c r="AN55" t="b">
        <v>1</v>
      </c>
      <c r="AO55">
        <v>11</v>
      </c>
    </row>
    <row r="56" spans="1:41" x14ac:dyDescent="0.35">
      <c r="A56" t="s">
        <v>433</v>
      </c>
      <c r="B56" s="1">
        <v>45480</v>
      </c>
      <c r="C56" s="2">
        <v>3.1087962962962963E-2</v>
      </c>
      <c r="D56" t="s">
        <v>41</v>
      </c>
      <c r="E56" t="s">
        <v>77</v>
      </c>
      <c r="F56" t="s">
        <v>434</v>
      </c>
      <c r="G56" t="s">
        <v>435</v>
      </c>
      <c r="H56">
        <v>73</v>
      </c>
      <c r="I56" t="s">
        <v>43</v>
      </c>
      <c r="J56" t="s">
        <v>88</v>
      </c>
      <c r="K56" t="s">
        <v>45</v>
      </c>
      <c r="L56" t="s">
        <v>436</v>
      </c>
      <c r="M56" t="s">
        <v>160</v>
      </c>
      <c r="N56" t="s">
        <v>123</v>
      </c>
      <c r="O56" t="s">
        <v>118</v>
      </c>
      <c r="P56">
        <v>17618</v>
      </c>
      <c r="Q56" t="s">
        <v>113</v>
      </c>
      <c r="R56" t="s">
        <v>50</v>
      </c>
      <c r="S56" t="s">
        <v>124</v>
      </c>
      <c r="T56" t="s">
        <v>52</v>
      </c>
      <c r="U56" t="s">
        <v>145</v>
      </c>
      <c r="V56" t="s">
        <v>54</v>
      </c>
      <c r="W56" t="s">
        <v>41</v>
      </c>
      <c r="X56" t="s">
        <v>98</v>
      </c>
      <c r="Y56" t="s">
        <v>255</v>
      </c>
      <c r="Z56" t="s">
        <v>57</v>
      </c>
      <c r="AA56" t="s">
        <v>283</v>
      </c>
      <c r="AB56">
        <v>0</v>
      </c>
      <c r="AC56">
        <v>0</v>
      </c>
      <c r="AD56">
        <v>5</v>
      </c>
      <c r="AE56">
        <v>645.97</v>
      </c>
      <c r="AF56">
        <v>0</v>
      </c>
      <c r="AG56">
        <v>129.19</v>
      </c>
      <c r="AH56">
        <v>37.020000000000003</v>
      </c>
      <c r="AI56">
        <v>812.18</v>
      </c>
      <c r="AJ56">
        <v>279.23</v>
      </c>
      <c r="AK56">
        <v>495.93</v>
      </c>
      <c r="AL56">
        <v>61.06</v>
      </c>
      <c r="AM56">
        <v>11944.44</v>
      </c>
      <c r="AN56" t="b">
        <v>1</v>
      </c>
      <c r="AO56">
        <v>8</v>
      </c>
    </row>
    <row r="57" spans="1:41" x14ac:dyDescent="0.35">
      <c r="A57" t="s">
        <v>437</v>
      </c>
      <c r="B57" s="1">
        <v>45815</v>
      </c>
      <c r="C57" s="2">
        <v>0.92400462962962959</v>
      </c>
      <c r="D57" t="s">
        <v>41</v>
      </c>
      <c r="E57" t="s">
        <v>59</v>
      </c>
      <c r="F57" t="s">
        <v>438</v>
      </c>
      <c r="G57" t="s">
        <v>439</v>
      </c>
      <c r="H57">
        <v>40</v>
      </c>
      <c r="I57" t="s">
        <v>43</v>
      </c>
      <c r="J57" t="s">
        <v>88</v>
      </c>
      <c r="K57" t="s">
        <v>45</v>
      </c>
      <c r="L57" t="s">
        <v>440</v>
      </c>
      <c r="M57" t="s">
        <v>148</v>
      </c>
      <c r="N57" t="s">
        <v>47</v>
      </c>
      <c r="O57" t="s">
        <v>70</v>
      </c>
      <c r="P57">
        <v>72365</v>
      </c>
      <c r="Q57" t="s">
        <v>113</v>
      </c>
      <c r="R57" t="s">
        <v>50</v>
      </c>
      <c r="S57" t="s">
        <v>51</v>
      </c>
      <c r="T57" t="s">
        <v>65</v>
      </c>
      <c r="U57" t="s">
        <v>221</v>
      </c>
      <c r="V57" t="s">
        <v>54</v>
      </c>
      <c r="W57" t="s">
        <v>41</v>
      </c>
      <c r="X57" t="s">
        <v>73</v>
      </c>
      <c r="Y57" t="s">
        <v>349</v>
      </c>
      <c r="Z57" t="s">
        <v>57</v>
      </c>
      <c r="AA57" t="s">
        <v>256</v>
      </c>
      <c r="AB57">
        <v>0</v>
      </c>
      <c r="AC57">
        <v>0</v>
      </c>
      <c r="AD57">
        <v>3</v>
      </c>
      <c r="AE57">
        <v>453.24</v>
      </c>
      <c r="AF57">
        <v>0</v>
      </c>
      <c r="AG57">
        <v>31.73</v>
      </c>
      <c r="AH57">
        <v>20.64</v>
      </c>
      <c r="AI57">
        <v>505.61</v>
      </c>
      <c r="AJ57">
        <v>188.88</v>
      </c>
      <c r="AK57">
        <v>296.08999999999997</v>
      </c>
      <c r="AL57">
        <v>58.56</v>
      </c>
      <c r="AM57">
        <v>2562.3000000000002</v>
      </c>
      <c r="AN57" t="b">
        <v>1</v>
      </c>
      <c r="AO57">
        <v>4</v>
      </c>
    </row>
    <row r="58" spans="1:41" x14ac:dyDescent="0.35">
      <c r="A58" t="s">
        <v>441</v>
      </c>
      <c r="B58" s="1">
        <v>45604</v>
      </c>
      <c r="C58" s="2">
        <v>0.92173611111111109</v>
      </c>
      <c r="D58" t="s">
        <v>41</v>
      </c>
      <c r="E58" t="s">
        <v>77</v>
      </c>
      <c r="F58" t="s">
        <v>442</v>
      </c>
      <c r="G58" t="s">
        <v>443</v>
      </c>
      <c r="H58">
        <v>67</v>
      </c>
      <c r="I58" t="s">
        <v>43</v>
      </c>
      <c r="J58" t="s">
        <v>88</v>
      </c>
      <c r="K58" t="s">
        <v>45</v>
      </c>
      <c r="L58" t="s">
        <v>444</v>
      </c>
      <c r="M58" t="s">
        <v>445</v>
      </c>
      <c r="N58" t="s">
        <v>338</v>
      </c>
      <c r="O58" t="s">
        <v>70</v>
      </c>
      <c r="P58">
        <v>34899</v>
      </c>
      <c r="Q58" t="s">
        <v>81</v>
      </c>
      <c r="R58" t="s">
        <v>50</v>
      </c>
      <c r="S58" t="s">
        <v>339</v>
      </c>
      <c r="T58" t="s">
        <v>65</v>
      </c>
      <c r="U58" t="s">
        <v>138</v>
      </c>
      <c r="V58" t="s">
        <v>54</v>
      </c>
      <c r="W58" t="s">
        <v>41</v>
      </c>
      <c r="X58" t="s">
        <v>73</v>
      </c>
      <c r="Y58" t="s">
        <v>85</v>
      </c>
      <c r="Z58" t="s">
        <v>86</v>
      </c>
      <c r="AA58" t="s">
        <v>446</v>
      </c>
      <c r="AB58">
        <v>0</v>
      </c>
      <c r="AC58">
        <v>0</v>
      </c>
      <c r="AD58">
        <v>1</v>
      </c>
      <c r="AE58">
        <v>260.54000000000002</v>
      </c>
      <c r="AF58">
        <v>0</v>
      </c>
      <c r="AG58">
        <v>46.9</v>
      </c>
      <c r="AH58">
        <v>10.27</v>
      </c>
      <c r="AI58">
        <v>317.70999999999998</v>
      </c>
      <c r="AJ58">
        <v>97.52</v>
      </c>
      <c r="AK58">
        <v>209.92</v>
      </c>
      <c r="AL58">
        <v>66.069999999999993</v>
      </c>
      <c r="AM58">
        <v>2458.15</v>
      </c>
      <c r="AN58" t="b">
        <v>1</v>
      </c>
      <c r="AO58">
        <v>4</v>
      </c>
    </row>
    <row r="59" spans="1:41" x14ac:dyDescent="0.35">
      <c r="A59" t="s">
        <v>447</v>
      </c>
      <c r="B59" s="1">
        <v>44897</v>
      </c>
      <c r="C59" s="2">
        <v>0.34689814814814812</v>
      </c>
      <c r="D59" t="s">
        <v>41</v>
      </c>
      <c r="E59" t="s">
        <v>42</v>
      </c>
      <c r="F59" t="s">
        <v>448</v>
      </c>
      <c r="G59" t="s">
        <v>449</v>
      </c>
      <c r="H59">
        <v>48</v>
      </c>
      <c r="I59" t="s">
        <v>78</v>
      </c>
      <c r="J59" t="s">
        <v>88</v>
      </c>
      <c r="K59" t="s">
        <v>45</v>
      </c>
      <c r="L59" t="s">
        <v>450</v>
      </c>
      <c r="M59" t="s">
        <v>160</v>
      </c>
      <c r="N59" t="s">
        <v>123</v>
      </c>
      <c r="O59" t="s">
        <v>118</v>
      </c>
      <c r="P59">
        <v>44878</v>
      </c>
      <c r="Q59" t="s">
        <v>81</v>
      </c>
      <c r="R59" t="s">
        <v>50</v>
      </c>
      <c r="S59" t="s">
        <v>124</v>
      </c>
      <c r="T59" t="s">
        <v>65</v>
      </c>
      <c r="U59" t="s">
        <v>145</v>
      </c>
      <c r="V59" t="s">
        <v>54</v>
      </c>
      <c r="W59" t="s">
        <v>41</v>
      </c>
      <c r="X59" t="s">
        <v>98</v>
      </c>
      <c r="Y59" t="s">
        <v>108</v>
      </c>
      <c r="Z59" t="s">
        <v>109</v>
      </c>
      <c r="AA59" t="s">
        <v>248</v>
      </c>
      <c r="AB59">
        <v>0</v>
      </c>
      <c r="AC59">
        <v>0</v>
      </c>
      <c r="AD59">
        <v>3</v>
      </c>
      <c r="AE59">
        <v>2379.12</v>
      </c>
      <c r="AF59">
        <v>0</v>
      </c>
      <c r="AG59">
        <v>475.82</v>
      </c>
      <c r="AH59">
        <v>12.42</v>
      </c>
      <c r="AI59">
        <v>2867.36</v>
      </c>
      <c r="AJ59">
        <v>1034.97</v>
      </c>
      <c r="AK59">
        <v>1819.97</v>
      </c>
      <c r="AL59">
        <v>63.47</v>
      </c>
      <c r="AM59">
        <v>7029.47</v>
      </c>
      <c r="AN59" t="b">
        <v>1</v>
      </c>
      <c r="AO59">
        <v>6</v>
      </c>
    </row>
    <row r="60" spans="1:41" x14ac:dyDescent="0.35">
      <c r="A60" t="s">
        <v>451</v>
      </c>
      <c r="B60" s="1">
        <v>45661</v>
      </c>
      <c r="C60" s="2">
        <v>0.97856481481481483</v>
      </c>
      <c r="D60" t="s">
        <v>41</v>
      </c>
      <c r="E60" t="s">
        <v>42</v>
      </c>
      <c r="F60" t="s">
        <v>452</v>
      </c>
      <c r="G60" t="s">
        <v>453</v>
      </c>
      <c r="H60">
        <v>21</v>
      </c>
      <c r="I60" t="s">
        <v>43</v>
      </c>
      <c r="J60" t="s">
        <v>44</v>
      </c>
      <c r="K60" t="s">
        <v>45</v>
      </c>
      <c r="L60" t="s">
        <v>454</v>
      </c>
      <c r="M60" t="s">
        <v>79</v>
      </c>
      <c r="N60" t="s">
        <v>47</v>
      </c>
      <c r="O60" t="s">
        <v>80</v>
      </c>
      <c r="P60">
        <v>32100</v>
      </c>
      <c r="Q60" t="s">
        <v>113</v>
      </c>
      <c r="R60" t="s">
        <v>50</v>
      </c>
      <c r="S60" t="s">
        <v>51</v>
      </c>
      <c r="T60" t="s">
        <v>52</v>
      </c>
      <c r="U60" t="s">
        <v>92</v>
      </c>
      <c r="V60" t="s">
        <v>54</v>
      </c>
      <c r="W60" t="s">
        <v>41</v>
      </c>
      <c r="X60" t="s">
        <v>261</v>
      </c>
      <c r="Y60" t="s">
        <v>56</v>
      </c>
      <c r="Z60" t="s">
        <v>57</v>
      </c>
      <c r="AA60" t="s">
        <v>144</v>
      </c>
      <c r="AB60">
        <v>0</v>
      </c>
      <c r="AC60">
        <v>0</v>
      </c>
      <c r="AD60">
        <v>3</v>
      </c>
      <c r="AE60">
        <v>1180.1300000000001</v>
      </c>
      <c r="AF60">
        <v>0</v>
      </c>
      <c r="AG60">
        <v>82.6</v>
      </c>
      <c r="AH60">
        <v>6.85</v>
      </c>
      <c r="AI60">
        <v>1269.58</v>
      </c>
      <c r="AJ60">
        <v>552.64</v>
      </c>
      <c r="AK60">
        <v>710.09</v>
      </c>
      <c r="AL60">
        <v>55.93</v>
      </c>
      <c r="AM60">
        <v>6841.34</v>
      </c>
      <c r="AN60" t="b">
        <v>1</v>
      </c>
      <c r="AO60">
        <v>8</v>
      </c>
    </row>
    <row r="61" spans="1:41" x14ac:dyDescent="0.35">
      <c r="A61" t="s">
        <v>455</v>
      </c>
      <c r="B61" s="1">
        <v>45726</v>
      </c>
      <c r="C61" s="2">
        <v>0.34899305555555554</v>
      </c>
      <c r="D61" t="s">
        <v>41</v>
      </c>
      <c r="E61" t="s">
        <v>111</v>
      </c>
      <c r="F61" t="s">
        <v>456</v>
      </c>
      <c r="G61" t="s">
        <v>457</v>
      </c>
      <c r="H61">
        <v>70</v>
      </c>
      <c r="I61" t="s">
        <v>78</v>
      </c>
      <c r="J61" t="s">
        <v>68</v>
      </c>
      <c r="K61" t="s">
        <v>45</v>
      </c>
      <c r="L61" t="s">
        <v>458</v>
      </c>
      <c r="M61" t="s">
        <v>148</v>
      </c>
      <c r="N61" t="s">
        <v>47</v>
      </c>
      <c r="O61" t="s">
        <v>70</v>
      </c>
      <c r="P61">
        <v>76535</v>
      </c>
      <c r="Q61" t="s">
        <v>113</v>
      </c>
      <c r="R61" t="s">
        <v>50</v>
      </c>
      <c r="S61" t="s">
        <v>51</v>
      </c>
      <c r="T61" t="s">
        <v>52</v>
      </c>
      <c r="U61" t="s">
        <v>72</v>
      </c>
      <c r="V61" t="s">
        <v>54</v>
      </c>
      <c r="W61" t="s">
        <v>41</v>
      </c>
      <c r="X61" t="s">
        <v>73</v>
      </c>
      <c r="Y61" t="s">
        <v>56</v>
      </c>
      <c r="Z61" t="s">
        <v>57</v>
      </c>
      <c r="AA61" t="s">
        <v>416</v>
      </c>
      <c r="AB61">
        <v>0</v>
      </c>
      <c r="AC61">
        <v>0</v>
      </c>
      <c r="AD61">
        <v>1</v>
      </c>
      <c r="AE61">
        <v>399.73</v>
      </c>
      <c r="AF61">
        <v>0</v>
      </c>
      <c r="AG61">
        <v>27.98</v>
      </c>
      <c r="AH61">
        <v>2.78</v>
      </c>
      <c r="AI61">
        <v>430.49</v>
      </c>
      <c r="AJ61">
        <v>256.49</v>
      </c>
      <c r="AK61">
        <v>171.22</v>
      </c>
      <c r="AL61">
        <v>39.770000000000003</v>
      </c>
      <c r="AM61">
        <v>14112.17</v>
      </c>
      <c r="AN61" t="b">
        <v>1</v>
      </c>
      <c r="AO61">
        <v>9</v>
      </c>
    </row>
    <row r="62" spans="1:41" x14ac:dyDescent="0.35">
      <c r="A62" t="s">
        <v>459</v>
      </c>
      <c r="B62" s="1">
        <v>45870</v>
      </c>
      <c r="C62" s="2">
        <v>0.82934027777777775</v>
      </c>
      <c r="D62" t="s">
        <v>41</v>
      </c>
      <c r="E62" t="s">
        <v>77</v>
      </c>
      <c r="F62" t="s">
        <v>460</v>
      </c>
      <c r="G62" t="s">
        <v>461</v>
      </c>
      <c r="H62">
        <v>62</v>
      </c>
      <c r="I62" t="s">
        <v>78</v>
      </c>
      <c r="J62" t="s">
        <v>68</v>
      </c>
      <c r="K62" t="s">
        <v>45</v>
      </c>
      <c r="L62" t="s">
        <v>462</v>
      </c>
      <c r="M62" t="s">
        <v>105</v>
      </c>
      <c r="N62" t="s">
        <v>47</v>
      </c>
      <c r="O62" t="s">
        <v>106</v>
      </c>
      <c r="P62">
        <v>31240</v>
      </c>
      <c r="Q62" t="s">
        <v>96</v>
      </c>
      <c r="R62" t="s">
        <v>50</v>
      </c>
      <c r="S62" t="s">
        <v>51</v>
      </c>
      <c r="T62" t="s">
        <v>52</v>
      </c>
      <c r="U62" t="s">
        <v>163</v>
      </c>
      <c r="V62" t="s">
        <v>54</v>
      </c>
      <c r="W62" t="s">
        <v>41</v>
      </c>
      <c r="X62" t="s">
        <v>55</v>
      </c>
      <c r="Y62" t="s">
        <v>131</v>
      </c>
      <c r="Z62" t="s">
        <v>227</v>
      </c>
      <c r="AA62" t="s">
        <v>76</v>
      </c>
      <c r="AB62">
        <v>0</v>
      </c>
      <c r="AC62">
        <v>0</v>
      </c>
      <c r="AD62">
        <v>7</v>
      </c>
      <c r="AE62">
        <v>1844.52</v>
      </c>
      <c r="AF62">
        <v>0</v>
      </c>
      <c r="AG62">
        <v>129.12</v>
      </c>
      <c r="AH62">
        <v>27.39</v>
      </c>
      <c r="AI62">
        <v>2001.03</v>
      </c>
      <c r="AJ62">
        <v>1011.44</v>
      </c>
      <c r="AK62">
        <v>962.2</v>
      </c>
      <c r="AL62">
        <v>48.09</v>
      </c>
      <c r="AM62">
        <v>3246.67</v>
      </c>
      <c r="AN62" t="b">
        <v>1</v>
      </c>
      <c r="AO62">
        <v>5</v>
      </c>
    </row>
    <row r="63" spans="1:41" x14ac:dyDescent="0.35">
      <c r="A63" t="s">
        <v>463</v>
      </c>
      <c r="B63" s="1">
        <v>45816</v>
      </c>
      <c r="C63" s="2">
        <v>0.26028935185185187</v>
      </c>
      <c r="D63" t="s">
        <v>41</v>
      </c>
      <c r="E63" t="s">
        <v>77</v>
      </c>
      <c r="F63" t="s">
        <v>464</v>
      </c>
      <c r="G63" t="s">
        <v>465</v>
      </c>
      <c r="H63">
        <v>73</v>
      </c>
      <c r="I63" t="s">
        <v>43</v>
      </c>
      <c r="J63" t="s">
        <v>68</v>
      </c>
      <c r="K63" t="s">
        <v>45</v>
      </c>
      <c r="L63" t="s">
        <v>466</v>
      </c>
      <c r="M63" t="s">
        <v>46</v>
      </c>
      <c r="N63" t="s">
        <v>47</v>
      </c>
      <c r="O63" t="s">
        <v>48</v>
      </c>
      <c r="P63">
        <v>50617</v>
      </c>
      <c r="Q63" t="s">
        <v>96</v>
      </c>
      <c r="R63" t="s">
        <v>50</v>
      </c>
      <c r="S63" t="s">
        <v>51</v>
      </c>
      <c r="T63" t="s">
        <v>65</v>
      </c>
      <c r="U63" t="s">
        <v>143</v>
      </c>
      <c r="V63" t="s">
        <v>54</v>
      </c>
      <c r="W63" t="s">
        <v>41</v>
      </c>
      <c r="X63" t="s">
        <v>55</v>
      </c>
      <c r="Y63" t="s">
        <v>99</v>
      </c>
      <c r="Z63" t="s">
        <v>57</v>
      </c>
      <c r="AA63" t="s">
        <v>110</v>
      </c>
      <c r="AB63">
        <v>0</v>
      </c>
      <c r="AC63">
        <v>0</v>
      </c>
      <c r="AD63">
        <v>10</v>
      </c>
      <c r="AE63">
        <v>1302.48</v>
      </c>
      <c r="AF63">
        <v>0</v>
      </c>
      <c r="AG63">
        <v>91.18</v>
      </c>
      <c r="AH63">
        <v>17.72</v>
      </c>
      <c r="AI63">
        <v>1411.38</v>
      </c>
      <c r="AJ63">
        <v>674.82</v>
      </c>
      <c r="AK63">
        <v>718.84</v>
      </c>
      <c r="AL63">
        <v>50.93</v>
      </c>
      <c r="AM63">
        <v>4475.2299999999996</v>
      </c>
      <c r="AN63" t="b">
        <v>1</v>
      </c>
      <c r="AO63">
        <v>6</v>
      </c>
    </row>
    <row r="64" spans="1:41" x14ac:dyDescent="0.35">
      <c r="A64" t="s">
        <v>467</v>
      </c>
      <c r="B64" s="1">
        <v>45170</v>
      </c>
      <c r="C64" s="2">
        <v>0.48491898148148149</v>
      </c>
      <c r="D64" t="s">
        <v>41</v>
      </c>
      <c r="E64" t="s">
        <v>111</v>
      </c>
      <c r="F64" t="s">
        <v>468</v>
      </c>
      <c r="G64" t="s">
        <v>469</v>
      </c>
      <c r="H64">
        <v>39</v>
      </c>
      <c r="I64" t="s">
        <v>78</v>
      </c>
      <c r="J64" t="s">
        <v>88</v>
      </c>
      <c r="K64" t="s">
        <v>45</v>
      </c>
      <c r="L64" t="s">
        <v>470</v>
      </c>
      <c r="M64" t="s">
        <v>337</v>
      </c>
      <c r="N64" t="s">
        <v>338</v>
      </c>
      <c r="O64" t="s">
        <v>80</v>
      </c>
      <c r="P64">
        <v>55960</v>
      </c>
      <c r="Q64" t="s">
        <v>63</v>
      </c>
      <c r="R64" t="s">
        <v>50</v>
      </c>
      <c r="S64" t="s">
        <v>339</v>
      </c>
      <c r="T64" t="s">
        <v>52</v>
      </c>
      <c r="U64" t="s">
        <v>221</v>
      </c>
      <c r="V64" t="s">
        <v>54</v>
      </c>
      <c r="W64" t="s">
        <v>41</v>
      </c>
      <c r="X64" t="s">
        <v>98</v>
      </c>
      <c r="Y64" t="s">
        <v>56</v>
      </c>
      <c r="Z64" t="s">
        <v>57</v>
      </c>
      <c r="AA64" t="s">
        <v>115</v>
      </c>
      <c r="AB64">
        <v>0</v>
      </c>
      <c r="AC64">
        <v>0</v>
      </c>
      <c r="AD64">
        <v>14</v>
      </c>
      <c r="AE64">
        <v>3240.15</v>
      </c>
      <c r="AF64">
        <v>0</v>
      </c>
      <c r="AG64">
        <v>583.23</v>
      </c>
      <c r="AH64">
        <v>35.97</v>
      </c>
      <c r="AI64">
        <v>3859.35</v>
      </c>
      <c r="AJ64">
        <v>1657.16</v>
      </c>
      <c r="AK64">
        <v>2166.2199999999998</v>
      </c>
      <c r="AL64">
        <v>56.13</v>
      </c>
      <c r="AM64">
        <v>11646.28</v>
      </c>
      <c r="AN64" t="b">
        <v>1</v>
      </c>
      <c r="AO64">
        <v>6</v>
      </c>
    </row>
    <row r="65" spans="1:41" x14ac:dyDescent="0.35">
      <c r="A65" t="s">
        <v>471</v>
      </c>
      <c r="B65" s="1">
        <v>45211</v>
      </c>
      <c r="C65" s="2">
        <v>0.90641203703703699</v>
      </c>
      <c r="D65" t="s">
        <v>41</v>
      </c>
      <c r="E65" t="s">
        <v>111</v>
      </c>
      <c r="F65" t="s">
        <v>472</v>
      </c>
      <c r="G65" t="s">
        <v>473</v>
      </c>
      <c r="H65">
        <v>31</v>
      </c>
      <c r="I65" t="s">
        <v>43</v>
      </c>
      <c r="J65" t="s">
        <v>44</v>
      </c>
      <c r="K65" t="s">
        <v>45</v>
      </c>
      <c r="L65" t="s">
        <v>474</v>
      </c>
      <c r="M65" t="s">
        <v>193</v>
      </c>
      <c r="N65" t="s">
        <v>47</v>
      </c>
      <c r="O65" t="s">
        <v>106</v>
      </c>
      <c r="P65">
        <v>66700</v>
      </c>
      <c r="Q65" t="s">
        <v>96</v>
      </c>
      <c r="R65" t="s">
        <v>50</v>
      </c>
      <c r="S65" t="s">
        <v>51</v>
      </c>
      <c r="T65" t="s">
        <v>71</v>
      </c>
      <c r="U65" t="s">
        <v>143</v>
      </c>
      <c r="V65" t="s">
        <v>54</v>
      </c>
      <c r="W65" t="s">
        <v>41</v>
      </c>
      <c r="X65" t="s">
        <v>98</v>
      </c>
      <c r="Y65" t="s">
        <v>56</v>
      </c>
      <c r="Z65" t="s">
        <v>57</v>
      </c>
      <c r="AA65" t="s">
        <v>246</v>
      </c>
      <c r="AB65">
        <v>0</v>
      </c>
      <c r="AC65">
        <v>0</v>
      </c>
      <c r="AD65">
        <v>1</v>
      </c>
      <c r="AE65">
        <v>146.65</v>
      </c>
      <c r="AF65">
        <v>0</v>
      </c>
      <c r="AG65">
        <v>10.27</v>
      </c>
      <c r="AH65">
        <v>1.01</v>
      </c>
      <c r="AI65">
        <v>157.93</v>
      </c>
      <c r="AJ65">
        <v>66.75</v>
      </c>
      <c r="AK65">
        <v>90.17</v>
      </c>
      <c r="AL65">
        <v>57.09</v>
      </c>
      <c r="AM65">
        <v>4689.51</v>
      </c>
      <c r="AN65" t="b">
        <v>1</v>
      </c>
      <c r="AO65">
        <v>7</v>
      </c>
    </row>
    <row r="66" spans="1:41" x14ac:dyDescent="0.35">
      <c r="A66" t="s">
        <v>475</v>
      </c>
      <c r="B66" s="1">
        <v>45910</v>
      </c>
      <c r="C66" s="2">
        <v>0.27865740740740741</v>
      </c>
      <c r="D66" t="s">
        <v>41</v>
      </c>
      <c r="E66" t="s">
        <v>77</v>
      </c>
      <c r="F66" t="s">
        <v>476</v>
      </c>
      <c r="G66" t="s">
        <v>477</v>
      </c>
      <c r="H66">
        <v>25</v>
      </c>
      <c r="I66" t="s">
        <v>43</v>
      </c>
      <c r="J66" t="s">
        <v>88</v>
      </c>
      <c r="K66" t="s">
        <v>152</v>
      </c>
      <c r="L66" t="s">
        <v>478</v>
      </c>
      <c r="M66" t="s">
        <v>348</v>
      </c>
      <c r="N66" t="s">
        <v>338</v>
      </c>
      <c r="O66" t="s">
        <v>80</v>
      </c>
      <c r="P66">
        <v>46309</v>
      </c>
      <c r="Q66" t="s">
        <v>96</v>
      </c>
      <c r="R66" t="s">
        <v>50</v>
      </c>
      <c r="S66" t="s">
        <v>339</v>
      </c>
      <c r="T66" t="s">
        <v>82</v>
      </c>
      <c r="U66" t="s">
        <v>83</v>
      </c>
      <c r="V66" t="s">
        <v>54</v>
      </c>
      <c r="W66" t="s">
        <v>41</v>
      </c>
      <c r="X66" t="s">
        <v>176</v>
      </c>
      <c r="Y66" t="s">
        <v>108</v>
      </c>
      <c r="Z66" t="s">
        <v>245</v>
      </c>
      <c r="AA66" t="s">
        <v>95</v>
      </c>
      <c r="AB66">
        <v>0</v>
      </c>
      <c r="AC66">
        <v>0</v>
      </c>
      <c r="AD66">
        <v>6</v>
      </c>
      <c r="AE66">
        <v>2709.94</v>
      </c>
      <c r="AF66">
        <v>0</v>
      </c>
      <c r="AG66">
        <v>487.8</v>
      </c>
      <c r="AH66">
        <v>28.65</v>
      </c>
      <c r="AI66">
        <v>3226.39</v>
      </c>
      <c r="AJ66">
        <v>1391.62</v>
      </c>
      <c r="AK66">
        <v>1806.12</v>
      </c>
      <c r="AL66">
        <v>55.98</v>
      </c>
      <c r="AM66">
        <v>5667.44</v>
      </c>
      <c r="AN66" t="b">
        <v>1</v>
      </c>
      <c r="AO66">
        <v>2</v>
      </c>
    </row>
    <row r="67" spans="1:41" x14ac:dyDescent="0.35">
      <c r="A67" t="s">
        <v>479</v>
      </c>
      <c r="B67" s="1">
        <v>45663</v>
      </c>
      <c r="C67" s="2">
        <v>0.84502314814814816</v>
      </c>
      <c r="D67" t="s">
        <v>41</v>
      </c>
      <c r="E67" t="s">
        <v>42</v>
      </c>
      <c r="F67" t="s">
        <v>480</v>
      </c>
      <c r="G67" t="s">
        <v>481</v>
      </c>
      <c r="H67">
        <v>47</v>
      </c>
      <c r="I67" t="s">
        <v>43</v>
      </c>
      <c r="J67" t="s">
        <v>88</v>
      </c>
      <c r="K67" t="s">
        <v>45</v>
      </c>
      <c r="L67" t="s">
        <v>482</v>
      </c>
      <c r="M67" t="s">
        <v>46</v>
      </c>
      <c r="N67" t="s">
        <v>47</v>
      </c>
      <c r="O67" t="s">
        <v>48</v>
      </c>
      <c r="P67">
        <v>20537</v>
      </c>
      <c r="Q67" t="s">
        <v>81</v>
      </c>
      <c r="R67" t="s">
        <v>50</v>
      </c>
      <c r="S67" t="s">
        <v>51</v>
      </c>
      <c r="T67" t="s">
        <v>52</v>
      </c>
      <c r="U67" t="s">
        <v>191</v>
      </c>
      <c r="V67" t="s">
        <v>54</v>
      </c>
      <c r="W67" t="s">
        <v>41</v>
      </c>
      <c r="X67" t="s">
        <v>84</v>
      </c>
      <c r="Y67" t="s">
        <v>56</v>
      </c>
      <c r="Z67" t="s">
        <v>57</v>
      </c>
      <c r="AA67" t="s">
        <v>256</v>
      </c>
      <c r="AB67">
        <v>0</v>
      </c>
      <c r="AC67">
        <v>0</v>
      </c>
      <c r="AD67">
        <v>3</v>
      </c>
      <c r="AE67">
        <v>2213.9699999999998</v>
      </c>
      <c r="AF67">
        <v>0</v>
      </c>
      <c r="AG67">
        <v>154.97999999999999</v>
      </c>
      <c r="AH67">
        <v>12.57</v>
      </c>
      <c r="AI67">
        <v>2381.52</v>
      </c>
      <c r="AJ67">
        <v>1095.6400000000001</v>
      </c>
      <c r="AK67">
        <v>1273.31</v>
      </c>
      <c r="AL67">
        <v>53.47</v>
      </c>
      <c r="AM67">
        <v>7578.07</v>
      </c>
      <c r="AN67" t="b">
        <v>1</v>
      </c>
      <c r="AO67">
        <v>5</v>
      </c>
    </row>
    <row r="68" spans="1:41" x14ac:dyDescent="0.35">
      <c r="A68" t="s">
        <v>483</v>
      </c>
      <c r="B68" s="1">
        <v>44451</v>
      </c>
      <c r="C68" s="2">
        <v>0.58447916666666666</v>
      </c>
      <c r="D68" t="s">
        <v>41</v>
      </c>
      <c r="E68" t="s">
        <v>42</v>
      </c>
      <c r="F68" t="s">
        <v>484</v>
      </c>
      <c r="G68" t="s">
        <v>485</v>
      </c>
      <c r="H68">
        <v>36</v>
      </c>
      <c r="I68" t="s">
        <v>78</v>
      </c>
      <c r="J68" t="s">
        <v>68</v>
      </c>
      <c r="K68" t="s">
        <v>45</v>
      </c>
      <c r="L68" t="s">
        <v>486</v>
      </c>
      <c r="M68" t="s">
        <v>61</v>
      </c>
      <c r="N68" t="s">
        <v>62</v>
      </c>
      <c r="O68" t="s">
        <v>48</v>
      </c>
      <c r="P68">
        <v>25730</v>
      </c>
      <c r="Q68" t="s">
        <v>113</v>
      </c>
      <c r="R68" t="s">
        <v>50</v>
      </c>
      <c r="S68" t="s">
        <v>64</v>
      </c>
      <c r="T68" t="s">
        <v>52</v>
      </c>
      <c r="U68" t="s">
        <v>66</v>
      </c>
      <c r="V68" t="s">
        <v>54</v>
      </c>
      <c r="W68" t="s">
        <v>41</v>
      </c>
      <c r="X68" t="s">
        <v>73</v>
      </c>
      <c r="Y68" t="s">
        <v>212</v>
      </c>
      <c r="Z68" t="s">
        <v>213</v>
      </c>
      <c r="AA68" t="s">
        <v>309</v>
      </c>
      <c r="AB68">
        <v>0</v>
      </c>
      <c r="AC68">
        <v>0</v>
      </c>
      <c r="AD68">
        <v>7</v>
      </c>
      <c r="AE68">
        <v>541.19000000000005</v>
      </c>
      <c r="AF68">
        <v>0</v>
      </c>
      <c r="AG68">
        <v>102.82</v>
      </c>
      <c r="AH68">
        <v>6.98</v>
      </c>
      <c r="AI68">
        <v>650.99</v>
      </c>
      <c r="AJ68">
        <v>233.73</v>
      </c>
      <c r="AK68">
        <v>410.28</v>
      </c>
      <c r="AL68">
        <v>63.02</v>
      </c>
      <c r="AM68">
        <v>7984.51</v>
      </c>
      <c r="AN68" t="b">
        <v>1</v>
      </c>
      <c r="AO68">
        <v>8</v>
      </c>
    </row>
    <row r="69" spans="1:41" x14ac:dyDescent="0.35">
      <c r="A69" t="s">
        <v>487</v>
      </c>
      <c r="B69" s="1">
        <v>45241</v>
      </c>
      <c r="C69" s="2">
        <v>0.55644675925925924</v>
      </c>
      <c r="D69" t="s">
        <v>41</v>
      </c>
      <c r="E69" t="s">
        <v>77</v>
      </c>
      <c r="F69" t="s">
        <v>488</v>
      </c>
      <c r="G69" t="s">
        <v>489</v>
      </c>
      <c r="H69">
        <v>72</v>
      </c>
      <c r="I69" t="s">
        <v>78</v>
      </c>
      <c r="J69" t="s">
        <v>60</v>
      </c>
      <c r="K69" t="s">
        <v>490</v>
      </c>
      <c r="L69" t="s">
        <v>491</v>
      </c>
      <c r="M69" t="s">
        <v>130</v>
      </c>
      <c r="N69" t="s">
        <v>47</v>
      </c>
      <c r="O69" t="s">
        <v>70</v>
      </c>
      <c r="P69">
        <v>49735</v>
      </c>
      <c r="Q69" t="s">
        <v>49</v>
      </c>
      <c r="R69" t="s">
        <v>50</v>
      </c>
      <c r="S69" t="s">
        <v>51</v>
      </c>
      <c r="T69" t="s">
        <v>52</v>
      </c>
      <c r="U69" t="s">
        <v>243</v>
      </c>
      <c r="V69" t="s">
        <v>54</v>
      </c>
      <c r="W69" t="s">
        <v>41</v>
      </c>
      <c r="X69" t="s">
        <v>176</v>
      </c>
      <c r="Y69" t="s">
        <v>74</v>
      </c>
      <c r="Z69" t="s">
        <v>139</v>
      </c>
      <c r="AA69" t="s">
        <v>284</v>
      </c>
      <c r="AB69">
        <v>0</v>
      </c>
      <c r="AC69">
        <v>0</v>
      </c>
      <c r="AD69">
        <v>3</v>
      </c>
      <c r="AE69">
        <v>645.55999999999995</v>
      </c>
      <c r="AF69">
        <v>0</v>
      </c>
      <c r="AG69">
        <v>45.18</v>
      </c>
      <c r="AH69">
        <v>18.989999999999998</v>
      </c>
      <c r="AI69">
        <v>709.73</v>
      </c>
      <c r="AJ69">
        <v>221.68</v>
      </c>
      <c r="AK69">
        <v>469.06</v>
      </c>
      <c r="AL69">
        <v>66.09</v>
      </c>
      <c r="AM69">
        <v>709.73</v>
      </c>
      <c r="AN69" t="b">
        <v>0</v>
      </c>
      <c r="AO69">
        <v>1</v>
      </c>
    </row>
    <row r="70" spans="1:41" x14ac:dyDescent="0.35">
      <c r="A70" t="s">
        <v>492</v>
      </c>
      <c r="B70" s="1">
        <v>44320</v>
      </c>
      <c r="C70" s="2">
        <v>0.25864583333333335</v>
      </c>
      <c r="D70" t="s">
        <v>41</v>
      </c>
      <c r="E70" t="s">
        <v>42</v>
      </c>
      <c r="F70" t="s">
        <v>493</v>
      </c>
      <c r="G70" t="s">
        <v>494</v>
      </c>
      <c r="H70">
        <v>69</v>
      </c>
      <c r="I70" t="s">
        <v>43</v>
      </c>
      <c r="J70" t="s">
        <v>60</v>
      </c>
      <c r="K70" t="s">
        <v>45</v>
      </c>
      <c r="L70" t="s">
        <v>495</v>
      </c>
      <c r="M70" t="s">
        <v>496</v>
      </c>
      <c r="N70" t="s">
        <v>90</v>
      </c>
      <c r="O70" t="s">
        <v>80</v>
      </c>
      <c r="P70">
        <v>82348</v>
      </c>
      <c r="Q70" t="s">
        <v>63</v>
      </c>
      <c r="R70" t="s">
        <v>50</v>
      </c>
      <c r="S70" t="s">
        <v>91</v>
      </c>
      <c r="T70" t="s">
        <v>52</v>
      </c>
      <c r="U70" t="s">
        <v>145</v>
      </c>
      <c r="V70" t="s">
        <v>54</v>
      </c>
      <c r="W70" t="s">
        <v>41</v>
      </c>
      <c r="X70" t="s">
        <v>73</v>
      </c>
      <c r="Y70" t="s">
        <v>131</v>
      </c>
      <c r="Z70" t="s">
        <v>227</v>
      </c>
      <c r="AA70" t="s">
        <v>309</v>
      </c>
      <c r="AB70">
        <v>0</v>
      </c>
      <c r="AC70">
        <v>0</v>
      </c>
      <c r="AD70">
        <v>1</v>
      </c>
      <c r="AE70">
        <v>64.52</v>
      </c>
      <c r="AF70">
        <v>0</v>
      </c>
      <c r="AG70">
        <v>8.39</v>
      </c>
      <c r="AH70">
        <v>7.19</v>
      </c>
      <c r="AI70">
        <v>80.099999999999994</v>
      </c>
      <c r="AJ70">
        <v>34.07</v>
      </c>
      <c r="AK70">
        <v>38.840000000000003</v>
      </c>
      <c r="AL70">
        <v>48.49</v>
      </c>
      <c r="AM70">
        <v>9178.23</v>
      </c>
      <c r="AN70" t="b">
        <v>1</v>
      </c>
      <c r="AO70">
        <v>8</v>
      </c>
    </row>
    <row r="71" spans="1:41" x14ac:dyDescent="0.35">
      <c r="A71" t="s">
        <v>497</v>
      </c>
      <c r="B71" s="1">
        <v>44598</v>
      </c>
      <c r="C71" s="2">
        <v>0.18011574074074074</v>
      </c>
      <c r="D71" t="s">
        <v>41</v>
      </c>
      <c r="E71" t="s">
        <v>77</v>
      </c>
      <c r="F71" t="s">
        <v>498</v>
      </c>
      <c r="G71" t="s">
        <v>499</v>
      </c>
      <c r="H71">
        <v>67</v>
      </c>
      <c r="I71" t="s">
        <v>43</v>
      </c>
      <c r="J71" t="s">
        <v>60</v>
      </c>
      <c r="K71" t="s">
        <v>45</v>
      </c>
      <c r="L71" t="s">
        <v>500</v>
      </c>
      <c r="M71" t="s">
        <v>61</v>
      </c>
      <c r="N71" t="s">
        <v>62</v>
      </c>
      <c r="O71" t="s">
        <v>48</v>
      </c>
      <c r="P71">
        <v>76390</v>
      </c>
      <c r="Q71" t="s">
        <v>113</v>
      </c>
      <c r="R71" t="s">
        <v>50</v>
      </c>
      <c r="S71" t="s">
        <v>64</v>
      </c>
      <c r="T71" t="s">
        <v>71</v>
      </c>
      <c r="U71" t="s">
        <v>97</v>
      </c>
      <c r="V71" t="s">
        <v>54</v>
      </c>
      <c r="W71" t="s">
        <v>41</v>
      </c>
      <c r="X71" t="s">
        <v>98</v>
      </c>
      <c r="Y71" t="s">
        <v>131</v>
      </c>
      <c r="Z71" t="s">
        <v>227</v>
      </c>
      <c r="AA71" t="s">
        <v>162</v>
      </c>
      <c r="AB71">
        <v>0</v>
      </c>
      <c r="AC71">
        <v>0</v>
      </c>
      <c r="AD71">
        <v>4</v>
      </c>
      <c r="AE71">
        <v>409.85</v>
      </c>
      <c r="AF71">
        <v>0</v>
      </c>
      <c r="AG71">
        <v>77.87</v>
      </c>
      <c r="AH71">
        <v>6.15</v>
      </c>
      <c r="AI71">
        <v>493.87</v>
      </c>
      <c r="AJ71">
        <v>162.08000000000001</v>
      </c>
      <c r="AK71">
        <v>325.64</v>
      </c>
      <c r="AL71">
        <v>65.94</v>
      </c>
      <c r="AM71">
        <v>10358.51</v>
      </c>
      <c r="AN71" t="b">
        <v>1</v>
      </c>
      <c r="AO71">
        <v>8</v>
      </c>
    </row>
    <row r="72" spans="1:41" x14ac:dyDescent="0.35">
      <c r="A72" t="s">
        <v>501</v>
      </c>
      <c r="B72" s="1">
        <v>45087</v>
      </c>
      <c r="C72" s="2">
        <v>0.47950231481481481</v>
      </c>
      <c r="D72" t="s">
        <v>41</v>
      </c>
      <c r="E72" t="s">
        <v>42</v>
      </c>
      <c r="F72" t="s">
        <v>502</v>
      </c>
      <c r="G72" t="s">
        <v>503</v>
      </c>
      <c r="H72">
        <v>70</v>
      </c>
      <c r="I72" t="s">
        <v>78</v>
      </c>
      <c r="J72" t="s">
        <v>88</v>
      </c>
      <c r="K72" t="s">
        <v>45</v>
      </c>
      <c r="L72" t="s">
        <v>504</v>
      </c>
      <c r="M72" t="s">
        <v>205</v>
      </c>
      <c r="N72" t="s">
        <v>62</v>
      </c>
      <c r="O72" t="s">
        <v>80</v>
      </c>
      <c r="P72">
        <v>68109</v>
      </c>
      <c r="Q72" t="s">
        <v>96</v>
      </c>
      <c r="R72" t="s">
        <v>50</v>
      </c>
      <c r="S72" t="s">
        <v>64</v>
      </c>
      <c r="T72" t="s">
        <v>52</v>
      </c>
      <c r="U72" t="s">
        <v>72</v>
      </c>
      <c r="V72" t="s">
        <v>54</v>
      </c>
      <c r="W72" t="s">
        <v>41</v>
      </c>
      <c r="X72" t="s">
        <v>261</v>
      </c>
      <c r="Y72" t="s">
        <v>99</v>
      </c>
      <c r="Z72" t="s">
        <v>57</v>
      </c>
      <c r="AA72" t="s">
        <v>206</v>
      </c>
      <c r="AB72">
        <v>0</v>
      </c>
      <c r="AC72">
        <v>0</v>
      </c>
      <c r="AD72">
        <v>6</v>
      </c>
      <c r="AE72">
        <v>1538.64</v>
      </c>
      <c r="AF72">
        <v>0</v>
      </c>
      <c r="AG72">
        <v>292.35000000000002</v>
      </c>
      <c r="AH72">
        <v>22.63</v>
      </c>
      <c r="AI72">
        <v>1853.62</v>
      </c>
      <c r="AJ72">
        <v>750.2</v>
      </c>
      <c r="AK72">
        <v>1080.79</v>
      </c>
      <c r="AL72">
        <v>58.31</v>
      </c>
      <c r="AM72">
        <v>4321.04</v>
      </c>
      <c r="AN72" t="b">
        <v>1</v>
      </c>
      <c r="AO72">
        <v>4</v>
      </c>
    </row>
    <row r="73" spans="1:41" x14ac:dyDescent="0.35">
      <c r="A73" t="s">
        <v>506</v>
      </c>
      <c r="B73" s="1">
        <v>45146</v>
      </c>
      <c r="C73" s="2">
        <v>0.85501157407407402</v>
      </c>
      <c r="D73" t="s">
        <v>41</v>
      </c>
      <c r="E73" t="s">
        <v>42</v>
      </c>
      <c r="F73" t="s">
        <v>507</v>
      </c>
      <c r="G73" t="s">
        <v>508</v>
      </c>
      <c r="H73">
        <v>66</v>
      </c>
      <c r="I73" t="s">
        <v>78</v>
      </c>
      <c r="J73" t="s">
        <v>88</v>
      </c>
      <c r="K73" t="s">
        <v>45</v>
      </c>
      <c r="L73" t="s">
        <v>509</v>
      </c>
      <c r="M73" t="s">
        <v>496</v>
      </c>
      <c r="N73" t="s">
        <v>90</v>
      </c>
      <c r="O73" t="s">
        <v>80</v>
      </c>
      <c r="P73">
        <v>39203</v>
      </c>
      <c r="Q73" t="s">
        <v>113</v>
      </c>
      <c r="R73" t="s">
        <v>50</v>
      </c>
      <c r="S73" t="s">
        <v>91</v>
      </c>
      <c r="T73" t="s">
        <v>65</v>
      </c>
      <c r="U73" t="s">
        <v>114</v>
      </c>
      <c r="V73" t="s">
        <v>54</v>
      </c>
      <c r="W73" t="s">
        <v>41</v>
      </c>
      <c r="X73" t="s">
        <v>73</v>
      </c>
      <c r="Y73" t="s">
        <v>93</v>
      </c>
      <c r="Z73" t="s">
        <v>94</v>
      </c>
      <c r="AA73" t="s">
        <v>162</v>
      </c>
      <c r="AB73">
        <v>0</v>
      </c>
      <c r="AC73">
        <v>0</v>
      </c>
      <c r="AD73">
        <v>11</v>
      </c>
      <c r="AE73">
        <v>2218.58</v>
      </c>
      <c r="AF73">
        <v>0</v>
      </c>
      <c r="AG73">
        <v>288.42</v>
      </c>
      <c r="AH73">
        <v>31.7</v>
      </c>
      <c r="AI73">
        <v>2538.6999999999998</v>
      </c>
      <c r="AJ73">
        <v>1016.85</v>
      </c>
      <c r="AK73">
        <v>1490.15</v>
      </c>
      <c r="AL73">
        <v>58.7</v>
      </c>
      <c r="AM73">
        <v>9283.2099999999991</v>
      </c>
      <c r="AN73" t="b">
        <v>1</v>
      </c>
      <c r="AO73">
        <v>7</v>
      </c>
    </row>
    <row r="74" spans="1:41" x14ac:dyDescent="0.35">
      <c r="A74" t="s">
        <v>510</v>
      </c>
      <c r="B74" s="1">
        <v>45327</v>
      </c>
      <c r="C74" s="2">
        <v>0.59569444444444442</v>
      </c>
      <c r="D74" t="s">
        <v>41</v>
      </c>
      <c r="E74" t="s">
        <v>77</v>
      </c>
      <c r="F74" t="s">
        <v>511</v>
      </c>
      <c r="G74" t="s">
        <v>512</v>
      </c>
      <c r="H74">
        <v>30</v>
      </c>
      <c r="I74" t="s">
        <v>78</v>
      </c>
      <c r="J74" t="s">
        <v>88</v>
      </c>
      <c r="K74" t="s">
        <v>45</v>
      </c>
      <c r="L74" t="s">
        <v>513</v>
      </c>
      <c r="M74" t="s">
        <v>105</v>
      </c>
      <c r="N74" t="s">
        <v>47</v>
      </c>
      <c r="O74" t="s">
        <v>106</v>
      </c>
      <c r="P74">
        <v>88346</v>
      </c>
      <c r="Q74" t="s">
        <v>137</v>
      </c>
      <c r="R74" t="s">
        <v>50</v>
      </c>
      <c r="S74" t="s">
        <v>51</v>
      </c>
      <c r="T74" t="s">
        <v>52</v>
      </c>
      <c r="U74" t="s">
        <v>221</v>
      </c>
      <c r="V74" t="s">
        <v>54</v>
      </c>
      <c r="W74" t="s">
        <v>41</v>
      </c>
      <c r="X74" t="s">
        <v>156</v>
      </c>
      <c r="Y74" t="s">
        <v>99</v>
      </c>
      <c r="Z74" t="s">
        <v>57</v>
      </c>
      <c r="AA74" t="s">
        <v>246</v>
      </c>
      <c r="AB74">
        <v>0</v>
      </c>
      <c r="AC74">
        <v>0</v>
      </c>
      <c r="AD74">
        <v>2</v>
      </c>
      <c r="AE74">
        <v>330.84</v>
      </c>
      <c r="AF74">
        <v>0</v>
      </c>
      <c r="AG74">
        <v>23.16</v>
      </c>
      <c r="AH74">
        <v>6.35</v>
      </c>
      <c r="AI74">
        <v>360.35</v>
      </c>
      <c r="AJ74">
        <v>139.66</v>
      </c>
      <c r="AK74">
        <v>214.34</v>
      </c>
      <c r="AL74">
        <v>59.48</v>
      </c>
      <c r="AM74">
        <v>14739.13</v>
      </c>
      <c r="AN74" t="b">
        <v>1</v>
      </c>
      <c r="AO74">
        <v>6</v>
      </c>
    </row>
    <row r="75" spans="1:41" x14ac:dyDescent="0.35">
      <c r="A75" t="s">
        <v>514</v>
      </c>
      <c r="B75" s="1">
        <v>44234</v>
      </c>
      <c r="C75" s="2">
        <v>4.614583333333333E-2</v>
      </c>
      <c r="D75" t="s">
        <v>41</v>
      </c>
      <c r="E75" t="s">
        <v>77</v>
      </c>
      <c r="F75" t="s">
        <v>515</v>
      </c>
      <c r="G75" t="s">
        <v>516</v>
      </c>
      <c r="H75">
        <v>50</v>
      </c>
      <c r="I75" t="s">
        <v>78</v>
      </c>
      <c r="J75" t="s">
        <v>68</v>
      </c>
      <c r="K75" t="s">
        <v>45</v>
      </c>
      <c r="L75" t="s">
        <v>517</v>
      </c>
      <c r="M75" t="s">
        <v>130</v>
      </c>
      <c r="N75" t="s">
        <v>47</v>
      </c>
      <c r="O75" t="s">
        <v>70</v>
      </c>
      <c r="P75">
        <v>77192</v>
      </c>
      <c r="Q75" t="s">
        <v>113</v>
      </c>
      <c r="R75" t="s">
        <v>50</v>
      </c>
      <c r="S75" t="s">
        <v>51</v>
      </c>
      <c r="T75" t="s">
        <v>52</v>
      </c>
      <c r="U75" t="s">
        <v>155</v>
      </c>
      <c r="V75" t="s">
        <v>54</v>
      </c>
      <c r="W75" t="s">
        <v>41</v>
      </c>
      <c r="X75" t="s">
        <v>98</v>
      </c>
      <c r="Y75" t="s">
        <v>212</v>
      </c>
      <c r="Z75" t="s">
        <v>213</v>
      </c>
      <c r="AA75" t="s">
        <v>283</v>
      </c>
      <c r="AB75">
        <v>0</v>
      </c>
      <c r="AC75">
        <v>0</v>
      </c>
      <c r="AD75">
        <v>6</v>
      </c>
      <c r="AE75">
        <v>1291.77</v>
      </c>
      <c r="AF75">
        <v>0</v>
      </c>
      <c r="AG75">
        <v>90.42</v>
      </c>
      <c r="AH75">
        <v>8.84</v>
      </c>
      <c r="AI75">
        <v>1391.03</v>
      </c>
      <c r="AJ75">
        <v>660.37</v>
      </c>
      <c r="AK75">
        <v>721.82</v>
      </c>
      <c r="AL75">
        <v>51.89</v>
      </c>
      <c r="AM75">
        <v>5802.9</v>
      </c>
      <c r="AN75" t="b">
        <v>1</v>
      </c>
      <c r="AO75">
        <v>5</v>
      </c>
    </row>
    <row r="76" spans="1:41" x14ac:dyDescent="0.35">
      <c r="A76" t="s">
        <v>518</v>
      </c>
      <c r="B76" s="1">
        <v>45723</v>
      </c>
      <c r="C76" s="2">
        <v>0.11555555555555555</v>
      </c>
      <c r="D76" t="s">
        <v>41</v>
      </c>
      <c r="E76" t="s">
        <v>42</v>
      </c>
      <c r="F76" t="s">
        <v>519</v>
      </c>
      <c r="G76" t="s">
        <v>520</v>
      </c>
      <c r="H76">
        <v>39</v>
      </c>
      <c r="I76" t="s">
        <v>78</v>
      </c>
      <c r="J76" t="s">
        <v>88</v>
      </c>
      <c r="K76" t="s">
        <v>45</v>
      </c>
      <c r="L76" t="s">
        <v>521</v>
      </c>
      <c r="M76" t="s">
        <v>204</v>
      </c>
      <c r="N76" t="s">
        <v>123</v>
      </c>
      <c r="O76" t="s">
        <v>80</v>
      </c>
      <c r="P76">
        <v>63657</v>
      </c>
      <c r="Q76" t="s">
        <v>113</v>
      </c>
      <c r="R76" t="s">
        <v>50</v>
      </c>
      <c r="S76" t="s">
        <v>124</v>
      </c>
      <c r="T76" t="s">
        <v>52</v>
      </c>
      <c r="U76" t="s">
        <v>66</v>
      </c>
      <c r="V76" t="s">
        <v>54</v>
      </c>
      <c r="W76" t="s">
        <v>41</v>
      </c>
      <c r="X76" t="s">
        <v>55</v>
      </c>
      <c r="Y76" t="s">
        <v>56</v>
      </c>
      <c r="Z76" t="s">
        <v>57</v>
      </c>
      <c r="AA76" t="s">
        <v>244</v>
      </c>
      <c r="AB76">
        <v>0</v>
      </c>
      <c r="AC76">
        <v>0</v>
      </c>
      <c r="AD76">
        <v>2</v>
      </c>
      <c r="AE76">
        <v>118.5</v>
      </c>
      <c r="AF76">
        <v>0</v>
      </c>
      <c r="AG76">
        <v>23.7</v>
      </c>
      <c r="AH76">
        <v>4.68</v>
      </c>
      <c r="AI76">
        <v>146.88</v>
      </c>
      <c r="AJ76">
        <v>72.56</v>
      </c>
      <c r="AK76">
        <v>69.64</v>
      </c>
      <c r="AL76">
        <v>47.41</v>
      </c>
      <c r="AM76">
        <v>9100.4699999999993</v>
      </c>
      <c r="AN76" t="b">
        <v>1</v>
      </c>
      <c r="AO76">
        <v>8</v>
      </c>
    </row>
    <row r="77" spans="1:41" x14ac:dyDescent="0.35">
      <c r="A77" t="s">
        <v>522</v>
      </c>
      <c r="B77" s="1">
        <v>44290</v>
      </c>
      <c r="C77" s="2">
        <v>0.64152777777777781</v>
      </c>
      <c r="D77" t="s">
        <v>41</v>
      </c>
      <c r="E77" t="s">
        <v>42</v>
      </c>
      <c r="F77" t="s">
        <v>523</v>
      </c>
      <c r="G77" t="s">
        <v>524</v>
      </c>
      <c r="H77">
        <v>31</v>
      </c>
      <c r="I77" t="s">
        <v>78</v>
      </c>
      <c r="J77" t="s">
        <v>88</v>
      </c>
      <c r="K77" t="s">
        <v>45</v>
      </c>
      <c r="L77" t="s">
        <v>525</v>
      </c>
      <c r="M77" t="s">
        <v>198</v>
      </c>
      <c r="N77" t="s">
        <v>47</v>
      </c>
      <c r="O77" t="s">
        <v>70</v>
      </c>
      <c r="P77">
        <v>34194</v>
      </c>
      <c r="Q77" t="s">
        <v>107</v>
      </c>
      <c r="R77" t="s">
        <v>50</v>
      </c>
      <c r="S77" t="s">
        <v>51</v>
      </c>
      <c r="T77" t="s">
        <v>65</v>
      </c>
      <c r="U77" t="s">
        <v>221</v>
      </c>
      <c r="V77" t="s">
        <v>54</v>
      </c>
      <c r="W77" t="s">
        <v>41</v>
      </c>
      <c r="X77" t="s">
        <v>172</v>
      </c>
      <c r="Y77" t="s">
        <v>56</v>
      </c>
      <c r="Z77" t="s">
        <v>57</v>
      </c>
      <c r="AA77" t="s">
        <v>167</v>
      </c>
      <c r="AB77">
        <v>0</v>
      </c>
      <c r="AC77">
        <v>0</v>
      </c>
      <c r="AD77">
        <v>3</v>
      </c>
      <c r="AE77">
        <v>665.52</v>
      </c>
      <c r="AF77">
        <v>0</v>
      </c>
      <c r="AG77">
        <v>46.59</v>
      </c>
      <c r="AH77">
        <v>32.81</v>
      </c>
      <c r="AI77">
        <v>744.92</v>
      </c>
      <c r="AJ77">
        <v>276.35000000000002</v>
      </c>
      <c r="AK77">
        <v>435.76</v>
      </c>
      <c r="AL77">
        <v>58.5</v>
      </c>
      <c r="AM77">
        <v>10833.7</v>
      </c>
      <c r="AN77" t="b">
        <v>1</v>
      </c>
      <c r="AO77">
        <v>6</v>
      </c>
    </row>
    <row r="78" spans="1:41" x14ac:dyDescent="0.35">
      <c r="A78" t="s">
        <v>526</v>
      </c>
      <c r="B78" s="1">
        <v>45261</v>
      </c>
      <c r="C78" s="2">
        <v>0.64505787037037032</v>
      </c>
      <c r="D78" t="s">
        <v>41</v>
      </c>
      <c r="E78" t="s">
        <v>59</v>
      </c>
      <c r="F78" t="s">
        <v>527</v>
      </c>
      <c r="G78" t="s">
        <v>528</v>
      </c>
      <c r="H78">
        <v>52</v>
      </c>
      <c r="I78" t="s">
        <v>78</v>
      </c>
      <c r="J78" t="s">
        <v>68</v>
      </c>
      <c r="K78" t="s">
        <v>45</v>
      </c>
      <c r="L78" t="s">
        <v>529</v>
      </c>
      <c r="M78" t="s">
        <v>79</v>
      </c>
      <c r="N78" t="s">
        <v>47</v>
      </c>
      <c r="O78" t="s">
        <v>80</v>
      </c>
      <c r="P78">
        <v>36136</v>
      </c>
      <c r="Q78" t="s">
        <v>113</v>
      </c>
      <c r="R78" t="s">
        <v>50</v>
      </c>
      <c r="S78" t="s">
        <v>51</v>
      </c>
      <c r="T78" t="s">
        <v>52</v>
      </c>
      <c r="U78" t="s">
        <v>120</v>
      </c>
      <c r="V78" t="s">
        <v>54</v>
      </c>
      <c r="W78" t="s">
        <v>41</v>
      </c>
      <c r="X78" t="s">
        <v>261</v>
      </c>
      <c r="Y78" t="s">
        <v>56</v>
      </c>
      <c r="Z78" t="s">
        <v>57</v>
      </c>
      <c r="AA78" t="s">
        <v>248</v>
      </c>
      <c r="AB78">
        <v>0</v>
      </c>
      <c r="AC78">
        <v>0</v>
      </c>
      <c r="AD78">
        <v>3</v>
      </c>
      <c r="AE78">
        <v>534.54</v>
      </c>
      <c r="AF78">
        <v>0</v>
      </c>
      <c r="AG78">
        <v>37.409999999999997</v>
      </c>
      <c r="AH78">
        <v>9.5399999999999991</v>
      </c>
      <c r="AI78">
        <v>581.49</v>
      </c>
      <c r="AJ78">
        <v>263.18</v>
      </c>
      <c r="AK78">
        <v>308.77</v>
      </c>
      <c r="AL78">
        <v>53.1</v>
      </c>
      <c r="AM78">
        <v>14695.99</v>
      </c>
      <c r="AN78" t="b">
        <v>1</v>
      </c>
      <c r="AO78">
        <v>13</v>
      </c>
    </row>
    <row r="79" spans="1:41" x14ac:dyDescent="0.35">
      <c r="A79" t="s">
        <v>530</v>
      </c>
      <c r="B79" s="1">
        <v>45360</v>
      </c>
      <c r="C79" s="2">
        <v>0.46755787037037039</v>
      </c>
      <c r="D79" t="s">
        <v>41</v>
      </c>
      <c r="E79" t="s">
        <v>77</v>
      </c>
      <c r="F79" t="s">
        <v>531</v>
      </c>
      <c r="G79" t="s">
        <v>532</v>
      </c>
      <c r="H79">
        <v>23</v>
      </c>
      <c r="I79" t="s">
        <v>78</v>
      </c>
      <c r="J79" t="s">
        <v>88</v>
      </c>
      <c r="K79" t="s">
        <v>45</v>
      </c>
      <c r="L79" t="s">
        <v>533</v>
      </c>
      <c r="M79" t="s">
        <v>79</v>
      </c>
      <c r="N79" t="s">
        <v>47</v>
      </c>
      <c r="O79" t="s">
        <v>80</v>
      </c>
      <c r="P79">
        <v>65372</v>
      </c>
      <c r="Q79" t="s">
        <v>81</v>
      </c>
      <c r="R79" t="s">
        <v>50</v>
      </c>
      <c r="S79" t="s">
        <v>51</v>
      </c>
      <c r="T79" t="s">
        <v>71</v>
      </c>
      <c r="U79" t="s">
        <v>175</v>
      </c>
      <c r="V79" t="s">
        <v>54</v>
      </c>
      <c r="W79" t="s">
        <v>41</v>
      </c>
      <c r="X79" t="s">
        <v>176</v>
      </c>
      <c r="Y79" t="s">
        <v>212</v>
      </c>
      <c r="Z79" t="s">
        <v>228</v>
      </c>
      <c r="AA79" t="s">
        <v>336</v>
      </c>
      <c r="AB79">
        <v>0</v>
      </c>
      <c r="AC79">
        <v>0</v>
      </c>
      <c r="AD79">
        <v>4</v>
      </c>
      <c r="AE79">
        <v>1109.68</v>
      </c>
      <c r="AF79">
        <v>0</v>
      </c>
      <c r="AG79">
        <v>77.67</v>
      </c>
      <c r="AH79">
        <v>33.11</v>
      </c>
      <c r="AI79">
        <v>1220.46</v>
      </c>
      <c r="AJ79">
        <v>653.78</v>
      </c>
      <c r="AK79">
        <v>533.57000000000005</v>
      </c>
      <c r="AL79">
        <v>43.72</v>
      </c>
      <c r="AM79">
        <v>14099.48</v>
      </c>
      <c r="AN79" t="b">
        <v>1</v>
      </c>
      <c r="AO79">
        <v>9</v>
      </c>
    </row>
    <row r="80" spans="1:41" x14ac:dyDescent="0.35">
      <c r="A80" t="s">
        <v>534</v>
      </c>
      <c r="B80" s="1">
        <v>45937</v>
      </c>
      <c r="C80" s="2">
        <v>0.17744212962962963</v>
      </c>
      <c r="D80" t="s">
        <v>41</v>
      </c>
      <c r="E80" t="s">
        <v>77</v>
      </c>
      <c r="F80" t="s">
        <v>535</v>
      </c>
      <c r="G80" t="s">
        <v>536</v>
      </c>
      <c r="H80">
        <v>29</v>
      </c>
      <c r="I80" t="s">
        <v>78</v>
      </c>
      <c r="J80" t="s">
        <v>88</v>
      </c>
      <c r="K80" t="s">
        <v>45</v>
      </c>
      <c r="L80" t="s">
        <v>537</v>
      </c>
      <c r="M80" t="s">
        <v>89</v>
      </c>
      <c r="N80" t="s">
        <v>90</v>
      </c>
      <c r="O80" t="s">
        <v>48</v>
      </c>
      <c r="P80">
        <v>83172</v>
      </c>
      <c r="Q80" t="s">
        <v>113</v>
      </c>
      <c r="R80" t="s">
        <v>50</v>
      </c>
      <c r="S80" t="s">
        <v>91</v>
      </c>
      <c r="T80" t="s">
        <v>65</v>
      </c>
      <c r="U80" t="s">
        <v>53</v>
      </c>
      <c r="V80" t="s">
        <v>54</v>
      </c>
      <c r="W80" t="s">
        <v>41</v>
      </c>
      <c r="X80" t="s">
        <v>84</v>
      </c>
      <c r="Y80" t="s">
        <v>56</v>
      </c>
      <c r="Z80" t="s">
        <v>57</v>
      </c>
      <c r="AA80" t="s">
        <v>67</v>
      </c>
      <c r="AB80">
        <v>0</v>
      </c>
      <c r="AC80">
        <v>0</v>
      </c>
      <c r="AD80">
        <v>2</v>
      </c>
      <c r="AE80">
        <v>113.84</v>
      </c>
      <c r="AF80">
        <v>0</v>
      </c>
      <c r="AG80">
        <v>14.8</v>
      </c>
      <c r="AH80">
        <v>21.49</v>
      </c>
      <c r="AI80">
        <v>150.13</v>
      </c>
      <c r="AJ80">
        <v>45.95</v>
      </c>
      <c r="AK80">
        <v>82.69</v>
      </c>
      <c r="AL80">
        <v>55.08</v>
      </c>
      <c r="AM80">
        <v>9012.57</v>
      </c>
      <c r="AN80" t="b">
        <v>1</v>
      </c>
      <c r="AO80">
        <v>6</v>
      </c>
    </row>
    <row r="81" spans="1:41" x14ac:dyDescent="0.35">
      <c r="A81" t="s">
        <v>538</v>
      </c>
      <c r="B81" s="1">
        <v>45597</v>
      </c>
      <c r="C81" s="2">
        <v>0.59228009259259262</v>
      </c>
      <c r="D81" t="s">
        <v>41</v>
      </c>
      <c r="E81" t="s">
        <v>77</v>
      </c>
      <c r="F81" t="s">
        <v>539</v>
      </c>
      <c r="G81" t="s">
        <v>540</v>
      </c>
      <c r="H81">
        <v>54</v>
      </c>
      <c r="I81" t="s">
        <v>43</v>
      </c>
      <c r="J81" t="s">
        <v>88</v>
      </c>
      <c r="K81" t="s">
        <v>45</v>
      </c>
      <c r="L81" t="s">
        <v>541</v>
      </c>
      <c r="M81" t="s">
        <v>198</v>
      </c>
      <c r="N81" t="s">
        <v>47</v>
      </c>
      <c r="O81" t="s">
        <v>70</v>
      </c>
      <c r="P81">
        <v>84673</v>
      </c>
      <c r="Q81" t="s">
        <v>113</v>
      </c>
      <c r="R81" t="s">
        <v>50</v>
      </c>
      <c r="S81" t="s">
        <v>51</v>
      </c>
      <c r="T81" t="s">
        <v>52</v>
      </c>
      <c r="U81" t="s">
        <v>53</v>
      </c>
      <c r="V81" t="s">
        <v>54</v>
      </c>
      <c r="W81" t="s">
        <v>41</v>
      </c>
      <c r="X81" t="s">
        <v>172</v>
      </c>
      <c r="Y81" t="s">
        <v>108</v>
      </c>
      <c r="Z81" t="s">
        <v>109</v>
      </c>
      <c r="AA81" t="s">
        <v>416</v>
      </c>
      <c r="AB81">
        <v>0</v>
      </c>
      <c r="AC81">
        <v>0</v>
      </c>
      <c r="AD81">
        <v>4</v>
      </c>
      <c r="AE81">
        <v>784.81</v>
      </c>
      <c r="AF81">
        <v>0</v>
      </c>
      <c r="AG81">
        <v>54.93</v>
      </c>
      <c r="AH81">
        <v>20.62</v>
      </c>
      <c r="AI81">
        <v>860.36</v>
      </c>
      <c r="AJ81">
        <v>360.91</v>
      </c>
      <c r="AK81">
        <v>478.83</v>
      </c>
      <c r="AL81">
        <v>55.65</v>
      </c>
      <c r="AM81">
        <v>5950.63</v>
      </c>
      <c r="AN81" t="b">
        <v>1</v>
      </c>
      <c r="AO81">
        <v>7</v>
      </c>
    </row>
    <row r="82" spans="1:41" x14ac:dyDescent="0.35">
      <c r="A82" t="s">
        <v>542</v>
      </c>
      <c r="B82" s="1">
        <v>45506</v>
      </c>
      <c r="C82" s="2">
        <v>0.1153125</v>
      </c>
      <c r="D82" t="s">
        <v>41</v>
      </c>
      <c r="E82" t="s">
        <v>59</v>
      </c>
      <c r="F82" t="s">
        <v>543</v>
      </c>
      <c r="G82" t="s">
        <v>544</v>
      </c>
      <c r="H82">
        <v>68</v>
      </c>
      <c r="I82" t="s">
        <v>43</v>
      </c>
      <c r="J82" t="s">
        <v>44</v>
      </c>
      <c r="K82" t="s">
        <v>45</v>
      </c>
      <c r="L82" t="s">
        <v>545</v>
      </c>
      <c r="M82" t="s">
        <v>79</v>
      </c>
      <c r="N82" t="s">
        <v>47</v>
      </c>
      <c r="O82" t="s">
        <v>80</v>
      </c>
      <c r="P82">
        <v>60161</v>
      </c>
      <c r="Q82" t="s">
        <v>113</v>
      </c>
      <c r="R82" t="s">
        <v>50</v>
      </c>
      <c r="S82" t="s">
        <v>51</v>
      </c>
      <c r="T82" t="s">
        <v>65</v>
      </c>
      <c r="U82" t="s">
        <v>66</v>
      </c>
      <c r="V82" t="s">
        <v>54</v>
      </c>
      <c r="W82" t="s">
        <v>41</v>
      </c>
      <c r="X82" t="s">
        <v>55</v>
      </c>
      <c r="Y82" t="s">
        <v>56</v>
      </c>
      <c r="Z82" t="s">
        <v>57</v>
      </c>
      <c r="AA82" t="s">
        <v>220</v>
      </c>
      <c r="AB82">
        <v>0</v>
      </c>
      <c r="AC82">
        <v>0</v>
      </c>
      <c r="AD82">
        <v>1</v>
      </c>
      <c r="AE82">
        <v>265.39</v>
      </c>
      <c r="AF82">
        <v>0</v>
      </c>
      <c r="AG82">
        <v>18.579999999999998</v>
      </c>
      <c r="AH82">
        <v>12.46</v>
      </c>
      <c r="AI82">
        <v>296.43</v>
      </c>
      <c r="AJ82">
        <v>117.34</v>
      </c>
      <c r="AK82">
        <v>166.63</v>
      </c>
      <c r="AL82">
        <v>56.21</v>
      </c>
      <c r="AM82">
        <v>5304.38</v>
      </c>
      <c r="AN82" t="b">
        <v>1</v>
      </c>
      <c r="AO82">
        <v>6</v>
      </c>
    </row>
    <row r="83" spans="1:41" x14ac:dyDescent="0.35">
      <c r="A83" t="s">
        <v>546</v>
      </c>
      <c r="B83" s="1">
        <v>45394</v>
      </c>
      <c r="C83" s="2">
        <v>0.10225694444444444</v>
      </c>
      <c r="D83" t="s">
        <v>41</v>
      </c>
      <c r="E83" t="s">
        <v>111</v>
      </c>
      <c r="F83" t="s">
        <v>547</v>
      </c>
      <c r="G83" t="s">
        <v>548</v>
      </c>
      <c r="H83">
        <v>59</v>
      </c>
      <c r="I83" t="s">
        <v>43</v>
      </c>
      <c r="J83" t="s">
        <v>88</v>
      </c>
      <c r="K83" t="s">
        <v>45</v>
      </c>
      <c r="L83" t="s">
        <v>549</v>
      </c>
      <c r="M83" t="s">
        <v>293</v>
      </c>
      <c r="N83" t="s">
        <v>123</v>
      </c>
      <c r="O83" t="s">
        <v>118</v>
      </c>
      <c r="P83">
        <v>21137</v>
      </c>
      <c r="Q83" t="s">
        <v>81</v>
      </c>
      <c r="R83" t="s">
        <v>50</v>
      </c>
      <c r="S83" t="s">
        <v>124</v>
      </c>
      <c r="T83" t="s">
        <v>71</v>
      </c>
      <c r="U83" t="s">
        <v>221</v>
      </c>
      <c r="V83" t="s">
        <v>54</v>
      </c>
      <c r="W83" t="s">
        <v>41</v>
      </c>
      <c r="X83" t="s">
        <v>55</v>
      </c>
      <c r="Y83" t="s">
        <v>212</v>
      </c>
      <c r="Z83" t="s">
        <v>213</v>
      </c>
      <c r="AA83" t="s">
        <v>110</v>
      </c>
      <c r="AB83">
        <v>0</v>
      </c>
      <c r="AC83">
        <v>0</v>
      </c>
      <c r="AD83">
        <v>3</v>
      </c>
      <c r="AE83">
        <v>1402.12</v>
      </c>
      <c r="AF83">
        <v>0</v>
      </c>
      <c r="AG83">
        <v>280.42</v>
      </c>
      <c r="AH83">
        <v>27.97</v>
      </c>
      <c r="AI83">
        <v>1710.51</v>
      </c>
      <c r="AJ83">
        <v>631.78</v>
      </c>
      <c r="AK83">
        <v>1050.76</v>
      </c>
      <c r="AL83">
        <v>61.43</v>
      </c>
      <c r="AM83">
        <v>6480.11</v>
      </c>
      <c r="AN83" t="b">
        <v>1</v>
      </c>
      <c r="AO83">
        <v>5</v>
      </c>
    </row>
    <row r="84" spans="1:41" x14ac:dyDescent="0.35">
      <c r="A84" t="s">
        <v>550</v>
      </c>
      <c r="B84" s="1">
        <v>44202</v>
      </c>
      <c r="C84" s="2">
        <v>0.30909722222222225</v>
      </c>
      <c r="D84" t="s">
        <v>41</v>
      </c>
      <c r="E84" t="s">
        <v>77</v>
      </c>
      <c r="F84" t="s">
        <v>551</v>
      </c>
      <c r="G84" t="s">
        <v>552</v>
      </c>
      <c r="H84">
        <v>73</v>
      </c>
      <c r="I84" t="s">
        <v>78</v>
      </c>
      <c r="J84" t="s">
        <v>88</v>
      </c>
      <c r="K84" t="s">
        <v>45</v>
      </c>
      <c r="L84" t="s">
        <v>553</v>
      </c>
      <c r="M84" t="s">
        <v>204</v>
      </c>
      <c r="N84" t="s">
        <v>123</v>
      </c>
      <c r="O84" t="s">
        <v>80</v>
      </c>
      <c r="P84">
        <v>6756</v>
      </c>
      <c r="Q84" t="s">
        <v>96</v>
      </c>
      <c r="R84" t="s">
        <v>50</v>
      </c>
      <c r="S84" t="s">
        <v>124</v>
      </c>
      <c r="T84" t="s">
        <v>52</v>
      </c>
      <c r="U84" t="s">
        <v>97</v>
      </c>
      <c r="V84" t="s">
        <v>54</v>
      </c>
      <c r="W84" t="s">
        <v>41</v>
      </c>
      <c r="X84" t="s">
        <v>84</v>
      </c>
      <c r="Y84" t="s">
        <v>56</v>
      </c>
      <c r="Z84" t="s">
        <v>57</v>
      </c>
      <c r="AA84" t="s">
        <v>144</v>
      </c>
      <c r="AB84">
        <v>0</v>
      </c>
      <c r="AC84">
        <v>0</v>
      </c>
      <c r="AD84">
        <v>9</v>
      </c>
      <c r="AE84">
        <v>4420.63</v>
      </c>
      <c r="AF84">
        <v>0</v>
      </c>
      <c r="AG84">
        <v>884.12</v>
      </c>
      <c r="AH84">
        <v>22.92</v>
      </c>
      <c r="AI84">
        <v>5327.67</v>
      </c>
      <c r="AJ84">
        <v>2452.7600000000002</v>
      </c>
      <c r="AK84">
        <v>2851.99</v>
      </c>
      <c r="AL84">
        <v>53.53</v>
      </c>
      <c r="AM84">
        <v>12426.46</v>
      </c>
      <c r="AN84" t="b">
        <v>1</v>
      </c>
      <c r="AO84">
        <v>6</v>
      </c>
    </row>
    <row r="85" spans="1:41" x14ac:dyDescent="0.35">
      <c r="A85" t="s">
        <v>554</v>
      </c>
      <c r="B85" s="1">
        <v>44572</v>
      </c>
      <c r="C85" s="2">
        <v>9.4062499999999993E-2</v>
      </c>
      <c r="D85" t="s">
        <v>41</v>
      </c>
      <c r="E85" t="s">
        <v>77</v>
      </c>
      <c r="F85" t="s">
        <v>555</v>
      </c>
      <c r="G85" t="s">
        <v>556</v>
      </c>
      <c r="H85">
        <v>26</v>
      </c>
      <c r="I85" t="s">
        <v>43</v>
      </c>
      <c r="J85" t="s">
        <v>88</v>
      </c>
      <c r="K85" t="s">
        <v>45</v>
      </c>
      <c r="L85" t="s">
        <v>557</v>
      </c>
      <c r="M85" t="s">
        <v>142</v>
      </c>
      <c r="N85" t="s">
        <v>47</v>
      </c>
      <c r="O85" t="s">
        <v>70</v>
      </c>
      <c r="P85">
        <v>5439</v>
      </c>
      <c r="Q85" t="s">
        <v>137</v>
      </c>
      <c r="R85" t="s">
        <v>50</v>
      </c>
      <c r="S85" t="s">
        <v>51</v>
      </c>
      <c r="T85" t="s">
        <v>71</v>
      </c>
      <c r="U85" t="s">
        <v>243</v>
      </c>
      <c r="V85" t="s">
        <v>54</v>
      </c>
      <c r="W85" t="s">
        <v>41</v>
      </c>
      <c r="X85" t="s">
        <v>84</v>
      </c>
      <c r="Y85" t="s">
        <v>56</v>
      </c>
      <c r="Z85" t="s">
        <v>57</v>
      </c>
      <c r="AA85" t="s">
        <v>283</v>
      </c>
      <c r="AB85">
        <v>0</v>
      </c>
      <c r="AC85">
        <v>0</v>
      </c>
      <c r="AD85">
        <v>5</v>
      </c>
      <c r="AE85">
        <v>1353.3</v>
      </c>
      <c r="AF85">
        <v>0</v>
      </c>
      <c r="AG85">
        <v>94.73</v>
      </c>
      <c r="AH85">
        <v>6.98</v>
      </c>
      <c r="AI85">
        <v>1455.01</v>
      </c>
      <c r="AJ85">
        <v>677.85</v>
      </c>
      <c r="AK85">
        <v>770.18</v>
      </c>
      <c r="AL85">
        <v>52.93</v>
      </c>
      <c r="AM85">
        <v>4345.99</v>
      </c>
      <c r="AN85" t="b">
        <v>1</v>
      </c>
      <c r="AO85">
        <v>6</v>
      </c>
    </row>
    <row r="86" spans="1:41" x14ac:dyDescent="0.35">
      <c r="A86" t="s">
        <v>558</v>
      </c>
      <c r="B86" s="1">
        <v>45389</v>
      </c>
      <c r="C86" s="2">
        <v>0.57144675925925925</v>
      </c>
      <c r="D86" t="s">
        <v>41</v>
      </c>
      <c r="E86" t="s">
        <v>77</v>
      </c>
      <c r="F86" t="s">
        <v>559</v>
      </c>
      <c r="G86" t="s">
        <v>560</v>
      </c>
      <c r="H86">
        <v>44</v>
      </c>
      <c r="I86" t="s">
        <v>78</v>
      </c>
      <c r="J86" t="s">
        <v>68</v>
      </c>
      <c r="K86" t="s">
        <v>45</v>
      </c>
      <c r="L86" t="s">
        <v>561</v>
      </c>
      <c r="M86" t="s">
        <v>154</v>
      </c>
      <c r="N86" t="s">
        <v>47</v>
      </c>
      <c r="O86" t="s">
        <v>48</v>
      </c>
      <c r="P86">
        <v>16154</v>
      </c>
      <c r="Q86" t="s">
        <v>137</v>
      </c>
      <c r="R86" t="s">
        <v>50</v>
      </c>
      <c r="S86" t="s">
        <v>51</v>
      </c>
      <c r="T86" t="s">
        <v>52</v>
      </c>
      <c r="U86" t="s">
        <v>191</v>
      </c>
      <c r="V86" t="s">
        <v>54</v>
      </c>
      <c r="W86" t="s">
        <v>41</v>
      </c>
      <c r="X86" t="s">
        <v>84</v>
      </c>
      <c r="Y86" t="s">
        <v>131</v>
      </c>
      <c r="Z86" t="s">
        <v>132</v>
      </c>
      <c r="AA86" t="s">
        <v>244</v>
      </c>
      <c r="AB86">
        <v>0</v>
      </c>
      <c r="AC86">
        <v>0</v>
      </c>
      <c r="AD86">
        <v>1</v>
      </c>
      <c r="AE86">
        <v>325.5</v>
      </c>
      <c r="AF86">
        <v>0</v>
      </c>
      <c r="AG86">
        <v>22.79</v>
      </c>
      <c r="AH86">
        <v>3.41</v>
      </c>
      <c r="AI86">
        <v>351.7</v>
      </c>
      <c r="AJ86">
        <v>204.94</v>
      </c>
      <c r="AK86">
        <v>143.35</v>
      </c>
      <c r="AL86">
        <v>40.76</v>
      </c>
      <c r="AM86">
        <v>7402.41</v>
      </c>
      <c r="AN86" t="b">
        <v>1</v>
      </c>
      <c r="AO86">
        <v>7</v>
      </c>
    </row>
    <row r="87" spans="1:41" x14ac:dyDescent="0.35">
      <c r="A87" t="s">
        <v>562</v>
      </c>
      <c r="B87" s="1">
        <v>45636</v>
      </c>
      <c r="C87" s="2">
        <v>0.29673611111111109</v>
      </c>
      <c r="D87" t="s">
        <v>41</v>
      </c>
      <c r="E87" t="s">
        <v>42</v>
      </c>
      <c r="F87" t="s">
        <v>563</v>
      </c>
      <c r="G87" t="s">
        <v>564</v>
      </c>
      <c r="H87">
        <v>64</v>
      </c>
      <c r="I87" t="s">
        <v>78</v>
      </c>
      <c r="J87" t="s">
        <v>88</v>
      </c>
      <c r="K87" t="s">
        <v>152</v>
      </c>
      <c r="L87" t="s">
        <v>565</v>
      </c>
      <c r="M87" t="s">
        <v>254</v>
      </c>
      <c r="N87" t="s">
        <v>90</v>
      </c>
      <c r="O87" t="s">
        <v>48</v>
      </c>
      <c r="P87">
        <v>94529</v>
      </c>
      <c r="Q87" t="s">
        <v>137</v>
      </c>
      <c r="R87" t="s">
        <v>50</v>
      </c>
      <c r="S87" t="s">
        <v>91</v>
      </c>
      <c r="T87" t="s">
        <v>52</v>
      </c>
      <c r="U87" t="s">
        <v>53</v>
      </c>
      <c r="V87" t="s">
        <v>54</v>
      </c>
      <c r="W87" t="s">
        <v>41</v>
      </c>
      <c r="X87" t="s">
        <v>73</v>
      </c>
      <c r="Y87" t="s">
        <v>85</v>
      </c>
      <c r="Z87" t="s">
        <v>146</v>
      </c>
      <c r="AA87" t="s">
        <v>167</v>
      </c>
      <c r="AB87">
        <v>0</v>
      </c>
      <c r="AC87">
        <v>0</v>
      </c>
      <c r="AD87">
        <v>10</v>
      </c>
      <c r="AE87">
        <v>2564.96</v>
      </c>
      <c r="AF87">
        <v>0</v>
      </c>
      <c r="AG87">
        <v>333.44</v>
      </c>
      <c r="AH87">
        <v>29.09</v>
      </c>
      <c r="AI87">
        <v>2927.49</v>
      </c>
      <c r="AJ87">
        <v>1438.44</v>
      </c>
      <c r="AK87">
        <v>1459.96</v>
      </c>
      <c r="AL87">
        <v>49.87</v>
      </c>
      <c r="AM87">
        <v>3186.25</v>
      </c>
      <c r="AN87" t="b">
        <v>1</v>
      </c>
      <c r="AO87">
        <v>2</v>
      </c>
    </row>
    <row r="88" spans="1:41" x14ac:dyDescent="0.35">
      <c r="A88" t="s">
        <v>566</v>
      </c>
      <c r="B88" s="1">
        <v>44989</v>
      </c>
      <c r="C88" s="2">
        <v>0.2442013888888889</v>
      </c>
      <c r="D88" t="s">
        <v>41</v>
      </c>
      <c r="E88" t="s">
        <v>77</v>
      </c>
      <c r="F88" t="s">
        <v>567</v>
      </c>
      <c r="G88" t="s">
        <v>568</v>
      </c>
      <c r="H88">
        <v>73</v>
      </c>
      <c r="I88" t="s">
        <v>78</v>
      </c>
      <c r="J88" t="s">
        <v>60</v>
      </c>
      <c r="K88" t="s">
        <v>45</v>
      </c>
      <c r="L88" t="s">
        <v>569</v>
      </c>
      <c r="M88" t="s">
        <v>254</v>
      </c>
      <c r="N88" t="s">
        <v>90</v>
      </c>
      <c r="O88" t="s">
        <v>48</v>
      </c>
      <c r="P88">
        <v>68304</v>
      </c>
      <c r="Q88" t="s">
        <v>107</v>
      </c>
      <c r="R88" t="s">
        <v>50</v>
      </c>
      <c r="S88" t="s">
        <v>91</v>
      </c>
      <c r="T88" t="s">
        <v>65</v>
      </c>
      <c r="U88" t="s">
        <v>324</v>
      </c>
      <c r="V88" t="s">
        <v>54</v>
      </c>
      <c r="W88" t="s">
        <v>41</v>
      </c>
      <c r="X88" t="s">
        <v>172</v>
      </c>
      <c r="Y88" t="s">
        <v>108</v>
      </c>
      <c r="Z88" t="s">
        <v>157</v>
      </c>
      <c r="AA88" t="s">
        <v>247</v>
      </c>
      <c r="AB88">
        <v>0</v>
      </c>
      <c r="AC88">
        <v>0</v>
      </c>
      <c r="AD88">
        <v>5</v>
      </c>
      <c r="AE88">
        <v>934.13</v>
      </c>
      <c r="AF88">
        <v>0</v>
      </c>
      <c r="AG88">
        <v>121.44</v>
      </c>
      <c r="AH88">
        <v>24.6</v>
      </c>
      <c r="AI88">
        <v>1080.17</v>
      </c>
      <c r="AJ88">
        <v>439.15</v>
      </c>
      <c r="AK88">
        <v>616.41999999999996</v>
      </c>
      <c r="AL88">
        <v>57.07</v>
      </c>
      <c r="AM88">
        <v>21504.77</v>
      </c>
      <c r="AN88" t="b">
        <v>1</v>
      </c>
      <c r="AO88">
        <v>8</v>
      </c>
    </row>
    <row r="89" spans="1:41" x14ac:dyDescent="0.35">
      <c r="A89" t="s">
        <v>570</v>
      </c>
      <c r="B89" s="1">
        <v>45117</v>
      </c>
      <c r="C89" s="2">
        <v>0.9494097222222222</v>
      </c>
      <c r="D89" t="s">
        <v>41</v>
      </c>
      <c r="E89" t="s">
        <v>42</v>
      </c>
      <c r="F89" t="s">
        <v>571</v>
      </c>
      <c r="G89" t="s">
        <v>572</v>
      </c>
      <c r="H89">
        <v>38</v>
      </c>
      <c r="I89" t="s">
        <v>43</v>
      </c>
      <c r="J89" t="s">
        <v>60</v>
      </c>
      <c r="K89" t="s">
        <v>45</v>
      </c>
      <c r="L89" t="s">
        <v>573</v>
      </c>
      <c r="M89" t="s">
        <v>148</v>
      </c>
      <c r="N89" t="s">
        <v>47</v>
      </c>
      <c r="O89" t="s">
        <v>70</v>
      </c>
      <c r="P89">
        <v>12591</v>
      </c>
      <c r="Q89" t="s">
        <v>49</v>
      </c>
      <c r="R89" t="s">
        <v>50</v>
      </c>
      <c r="S89" t="s">
        <v>51</v>
      </c>
      <c r="T89" t="s">
        <v>52</v>
      </c>
      <c r="U89" t="s">
        <v>138</v>
      </c>
      <c r="V89" t="s">
        <v>54</v>
      </c>
      <c r="W89" t="s">
        <v>41</v>
      </c>
      <c r="X89" t="s">
        <v>261</v>
      </c>
      <c r="Y89" t="s">
        <v>56</v>
      </c>
      <c r="Z89" t="s">
        <v>57</v>
      </c>
      <c r="AA89" t="s">
        <v>67</v>
      </c>
      <c r="AB89">
        <v>0</v>
      </c>
      <c r="AC89">
        <v>0</v>
      </c>
      <c r="AD89">
        <v>7</v>
      </c>
      <c r="AE89">
        <v>3297.37</v>
      </c>
      <c r="AF89">
        <v>0</v>
      </c>
      <c r="AG89">
        <v>230.81</v>
      </c>
      <c r="AH89">
        <v>24.56</v>
      </c>
      <c r="AI89">
        <v>3552.74</v>
      </c>
      <c r="AJ89">
        <v>1600.97</v>
      </c>
      <c r="AK89">
        <v>1927.21</v>
      </c>
      <c r="AL89">
        <v>54.25</v>
      </c>
      <c r="AM89">
        <v>8220.06</v>
      </c>
      <c r="AN89" t="b">
        <v>1</v>
      </c>
      <c r="AO89">
        <v>4</v>
      </c>
    </row>
    <row r="90" spans="1:41" x14ac:dyDescent="0.35">
      <c r="A90" t="s">
        <v>574</v>
      </c>
      <c r="B90" s="1">
        <v>45941</v>
      </c>
      <c r="C90" s="2">
        <v>0.31119212962962961</v>
      </c>
      <c r="D90" t="s">
        <v>41</v>
      </c>
      <c r="E90" t="s">
        <v>77</v>
      </c>
      <c r="F90" t="s">
        <v>575</v>
      </c>
      <c r="G90" t="s">
        <v>576</v>
      </c>
      <c r="H90">
        <v>67</v>
      </c>
      <c r="I90" t="s">
        <v>43</v>
      </c>
      <c r="J90" t="s">
        <v>88</v>
      </c>
      <c r="K90" t="s">
        <v>45</v>
      </c>
      <c r="L90" t="s">
        <v>577</v>
      </c>
      <c r="M90" t="s">
        <v>61</v>
      </c>
      <c r="N90" t="s">
        <v>62</v>
      </c>
      <c r="O90" t="s">
        <v>48</v>
      </c>
      <c r="P90">
        <v>52573</v>
      </c>
      <c r="Q90" t="s">
        <v>63</v>
      </c>
      <c r="R90" t="s">
        <v>50</v>
      </c>
      <c r="S90" t="s">
        <v>64</v>
      </c>
      <c r="T90" t="s">
        <v>82</v>
      </c>
      <c r="U90" t="s">
        <v>138</v>
      </c>
      <c r="V90" t="s">
        <v>54</v>
      </c>
      <c r="W90" t="s">
        <v>41</v>
      </c>
      <c r="X90" t="s">
        <v>84</v>
      </c>
      <c r="Y90" t="s">
        <v>108</v>
      </c>
      <c r="Z90" t="s">
        <v>157</v>
      </c>
      <c r="AA90" t="s">
        <v>309</v>
      </c>
      <c r="AB90">
        <v>0</v>
      </c>
      <c r="AC90">
        <v>0</v>
      </c>
      <c r="AD90">
        <v>4</v>
      </c>
      <c r="AE90">
        <v>640.39</v>
      </c>
      <c r="AF90">
        <v>0</v>
      </c>
      <c r="AG90">
        <v>121.67</v>
      </c>
      <c r="AH90">
        <v>37.340000000000003</v>
      </c>
      <c r="AI90">
        <v>799.4</v>
      </c>
      <c r="AJ90">
        <v>330.23</v>
      </c>
      <c r="AK90">
        <v>431.83</v>
      </c>
      <c r="AL90">
        <v>54.02</v>
      </c>
      <c r="AM90">
        <v>14741.14</v>
      </c>
      <c r="AN90" t="b">
        <v>1</v>
      </c>
      <c r="AO90">
        <v>9</v>
      </c>
    </row>
    <row r="91" spans="1:41" x14ac:dyDescent="0.35">
      <c r="A91" t="s">
        <v>578</v>
      </c>
      <c r="B91" s="1">
        <v>45235</v>
      </c>
      <c r="C91" s="2">
        <v>0.67923611111111115</v>
      </c>
      <c r="D91" t="s">
        <v>41</v>
      </c>
      <c r="E91" t="s">
        <v>42</v>
      </c>
      <c r="F91" t="s">
        <v>579</v>
      </c>
      <c r="G91" t="s">
        <v>580</v>
      </c>
      <c r="H91">
        <v>23</v>
      </c>
      <c r="I91" t="s">
        <v>78</v>
      </c>
      <c r="J91" t="s">
        <v>68</v>
      </c>
      <c r="K91" t="s">
        <v>45</v>
      </c>
      <c r="L91" t="s">
        <v>581</v>
      </c>
      <c r="M91" t="s">
        <v>142</v>
      </c>
      <c r="N91" t="s">
        <v>47</v>
      </c>
      <c r="O91" t="s">
        <v>70</v>
      </c>
      <c r="P91">
        <v>14322</v>
      </c>
      <c r="Q91" t="s">
        <v>113</v>
      </c>
      <c r="R91" t="s">
        <v>50</v>
      </c>
      <c r="S91" t="s">
        <v>51</v>
      </c>
      <c r="T91" t="s">
        <v>52</v>
      </c>
      <c r="U91" t="s">
        <v>175</v>
      </c>
      <c r="V91" t="s">
        <v>54</v>
      </c>
      <c r="W91" t="s">
        <v>41</v>
      </c>
      <c r="X91" t="s">
        <v>156</v>
      </c>
      <c r="Y91" t="s">
        <v>131</v>
      </c>
      <c r="Z91" t="s">
        <v>177</v>
      </c>
      <c r="AA91" t="s">
        <v>309</v>
      </c>
      <c r="AB91">
        <v>0</v>
      </c>
      <c r="AC91">
        <v>0</v>
      </c>
      <c r="AD91">
        <v>4</v>
      </c>
      <c r="AE91">
        <v>847.34</v>
      </c>
      <c r="AF91">
        <v>0</v>
      </c>
      <c r="AG91">
        <v>59.31</v>
      </c>
      <c r="AH91">
        <v>6.94</v>
      </c>
      <c r="AI91">
        <v>913.59</v>
      </c>
      <c r="AJ91">
        <v>341.31</v>
      </c>
      <c r="AK91">
        <v>565.34</v>
      </c>
      <c r="AL91">
        <v>61.88</v>
      </c>
      <c r="AM91">
        <v>15568.6</v>
      </c>
      <c r="AN91" t="b">
        <v>1</v>
      </c>
      <c r="AO91">
        <v>8</v>
      </c>
    </row>
    <row r="92" spans="1:41" x14ac:dyDescent="0.35">
      <c r="A92" t="s">
        <v>583</v>
      </c>
      <c r="B92" s="1">
        <v>44930</v>
      </c>
      <c r="C92" s="2">
        <v>6.356481481481481E-2</v>
      </c>
      <c r="D92" t="s">
        <v>41</v>
      </c>
      <c r="E92" t="s">
        <v>59</v>
      </c>
      <c r="F92" t="s">
        <v>584</v>
      </c>
      <c r="G92" t="s">
        <v>585</v>
      </c>
      <c r="H92">
        <v>68</v>
      </c>
      <c r="I92" t="s">
        <v>43</v>
      </c>
      <c r="J92" t="s">
        <v>44</v>
      </c>
      <c r="K92" t="s">
        <v>45</v>
      </c>
      <c r="L92" t="s">
        <v>586</v>
      </c>
      <c r="M92" t="s">
        <v>130</v>
      </c>
      <c r="N92" t="s">
        <v>47</v>
      </c>
      <c r="O92" t="s">
        <v>70</v>
      </c>
      <c r="P92">
        <v>18933</v>
      </c>
      <c r="Q92" t="s">
        <v>96</v>
      </c>
      <c r="R92" t="s">
        <v>50</v>
      </c>
      <c r="S92" t="s">
        <v>51</v>
      </c>
      <c r="T92" t="s">
        <v>52</v>
      </c>
      <c r="U92" t="s">
        <v>120</v>
      </c>
      <c r="V92" t="s">
        <v>54</v>
      </c>
      <c r="W92" t="s">
        <v>41</v>
      </c>
      <c r="X92" t="s">
        <v>55</v>
      </c>
      <c r="Y92" t="s">
        <v>131</v>
      </c>
      <c r="Z92" t="s">
        <v>227</v>
      </c>
      <c r="AA92" t="s">
        <v>244</v>
      </c>
      <c r="AB92">
        <v>0</v>
      </c>
      <c r="AC92">
        <v>0</v>
      </c>
      <c r="AD92">
        <v>7</v>
      </c>
      <c r="AE92">
        <v>2115.11</v>
      </c>
      <c r="AF92">
        <v>0</v>
      </c>
      <c r="AG92">
        <v>148.06</v>
      </c>
      <c r="AH92">
        <v>18.329999999999998</v>
      </c>
      <c r="AI92">
        <v>2281.5</v>
      </c>
      <c r="AJ92">
        <v>972.73</v>
      </c>
      <c r="AK92">
        <v>1290.44</v>
      </c>
      <c r="AL92">
        <v>56.56</v>
      </c>
      <c r="AM92">
        <v>18606.95</v>
      </c>
      <c r="AN92" t="b">
        <v>1</v>
      </c>
      <c r="AO92">
        <v>9</v>
      </c>
    </row>
    <row r="93" spans="1:41" x14ac:dyDescent="0.35">
      <c r="A93" t="s">
        <v>587</v>
      </c>
      <c r="B93" s="1">
        <v>45543</v>
      </c>
      <c r="C93" s="2">
        <v>0.9946180555555556</v>
      </c>
      <c r="D93" t="s">
        <v>41</v>
      </c>
      <c r="E93" t="s">
        <v>77</v>
      </c>
      <c r="F93" t="s">
        <v>588</v>
      </c>
      <c r="G93" t="s">
        <v>589</v>
      </c>
      <c r="H93">
        <v>73</v>
      </c>
      <c r="I93" t="s">
        <v>78</v>
      </c>
      <c r="J93" t="s">
        <v>68</v>
      </c>
      <c r="K93" t="s">
        <v>45</v>
      </c>
      <c r="L93" t="s">
        <v>590</v>
      </c>
      <c r="M93" t="s">
        <v>105</v>
      </c>
      <c r="N93" t="s">
        <v>47</v>
      </c>
      <c r="O93" t="s">
        <v>106</v>
      </c>
      <c r="P93">
        <v>41489</v>
      </c>
      <c r="Q93" t="s">
        <v>96</v>
      </c>
      <c r="R93" t="s">
        <v>50</v>
      </c>
      <c r="S93" t="s">
        <v>51</v>
      </c>
      <c r="T93" t="s">
        <v>52</v>
      </c>
      <c r="U93" t="s">
        <v>324</v>
      </c>
      <c r="V93" t="s">
        <v>54</v>
      </c>
      <c r="W93" t="s">
        <v>41</v>
      </c>
      <c r="X93" t="s">
        <v>156</v>
      </c>
      <c r="Y93" t="s">
        <v>56</v>
      </c>
      <c r="Z93" t="s">
        <v>57</v>
      </c>
      <c r="AA93" t="s">
        <v>206</v>
      </c>
      <c r="AB93">
        <v>0</v>
      </c>
      <c r="AC93">
        <v>0</v>
      </c>
      <c r="AD93">
        <v>3</v>
      </c>
      <c r="AE93">
        <v>786.39</v>
      </c>
      <c r="AF93">
        <v>0</v>
      </c>
      <c r="AG93">
        <v>55.05</v>
      </c>
      <c r="AH93">
        <v>14.88</v>
      </c>
      <c r="AI93">
        <v>856.32</v>
      </c>
      <c r="AJ93">
        <v>315.06</v>
      </c>
      <c r="AK93">
        <v>526.38</v>
      </c>
      <c r="AL93">
        <v>61.47</v>
      </c>
      <c r="AM93">
        <v>6287.91</v>
      </c>
      <c r="AN93" t="b">
        <v>1</v>
      </c>
      <c r="AO93">
        <v>10</v>
      </c>
    </row>
    <row r="94" spans="1:41" x14ac:dyDescent="0.35">
      <c r="A94" t="s">
        <v>591</v>
      </c>
      <c r="B94" s="1">
        <v>44481</v>
      </c>
      <c r="C94" s="2">
        <v>0.54150462962962964</v>
      </c>
      <c r="D94" t="s">
        <v>41</v>
      </c>
      <c r="E94" t="s">
        <v>42</v>
      </c>
      <c r="F94" t="s">
        <v>592</v>
      </c>
      <c r="G94" t="s">
        <v>593</v>
      </c>
      <c r="H94">
        <v>73</v>
      </c>
      <c r="I94" t="s">
        <v>78</v>
      </c>
      <c r="J94" t="s">
        <v>60</v>
      </c>
      <c r="K94" t="s">
        <v>45</v>
      </c>
      <c r="L94" t="s">
        <v>594</v>
      </c>
      <c r="M94" t="s">
        <v>205</v>
      </c>
      <c r="N94" t="s">
        <v>62</v>
      </c>
      <c r="O94" t="s">
        <v>80</v>
      </c>
      <c r="P94">
        <v>19038</v>
      </c>
      <c r="Q94" t="s">
        <v>113</v>
      </c>
      <c r="R94" t="s">
        <v>50</v>
      </c>
      <c r="S94" t="s">
        <v>64</v>
      </c>
      <c r="T94" t="s">
        <v>71</v>
      </c>
      <c r="U94" t="s">
        <v>53</v>
      </c>
      <c r="V94" t="s">
        <v>54</v>
      </c>
      <c r="W94" t="s">
        <v>41</v>
      </c>
      <c r="X94" t="s">
        <v>98</v>
      </c>
      <c r="Y94" t="s">
        <v>74</v>
      </c>
      <c r="Z94" t="s">
        <v>75</v>
      </c>
      <c r="AA94" t="s">
        <v>87</v>
      </c>
      <c r="AB94">
        <v>0</v>
      </c>
      <c r="AC94">
        <v>0</v>
      </c>
      <c r="AD94">
        <v>3</v>
      </c>
      <c r="AE94">
        <v>468.3</v>
      </c>
      <c r="AF94">
        <v>0</v>
      </c>
      <c r="AG94">
        <v>88.98</v>
      </c>
      <c r="AH94">
        <v>7.96</v>
      </c>
      <c r="AI94">
        <v>565.24</v>
      </c>
      <c r="AJ94">
        <v>196.66</v>
      </c>
      <c r="AK94">
        <v>360.62</v>
      </c>
      <c r="AL94">
        <v>63.8</v>
      </c>
      <c r="AM94">
        <v>10873.34</v>
      </c>
      <c r="AN94" t="b">
        <v>1</v>
      </c>
      <c r="AO94">
        <v>7</v>
      </c>
    </row>
    <row r="95" spans="1:41" x14ac:dyDescent="0.35">
      <c r="A95" t="s">
        <v>595</v>
      </c>
      <c r="B95" s="1">
        <v>44236</v>
      </c>
      <c r="C95" s="2">
        <v>0.54047453703703707</v>
      </c>
      <c r="D95" t="s">
        <v>41</v>
      </c>
      <c r="E95" t="s">
        <v>77</v>
      </c>
      <c r="F95" t="s">
        <v>596</v>
      </c>
      <c r="G95" t="s">
        <v>597</v>
      </c>
      <c r="H95">
        <v>74</v>
      </c>
      <c r="I95" t="s">
        <v>43</v>
      </c>
      <c r="J95" t="s">
        <v>68</v>
      </c>
      <c r="K95" t="s">
        <v>152</v>
      </c>
      <c r="L95" t="s">
        <v>598</v>
      </c>
      <c r="M95" t="s">
        <v>331</v>
      </c>
      <c r="N95" t="s">
        <v>117</v>
      </c>
      <c r="O95" t="s">
        <v>70</v>
      </c>
      <c r="P95">
        <v>42374</v>
      </c>
      <c r="Q95" t="s">
        <v>137</v>
      </c>
      <c r="R95" t="s">
        <v>50</v>
      </c>
      <c r="S95" t="s">
        <v>119</v>
      </c>
      <c r="T95" t="s">
        <v>71</v>
      </c>
      <c r="U95" t="s">
        <v>221</v>
      </c>
      <c r="V95" t="s">
        <v>54</v>
      </c>
      <c r="W95" t="s">
        <v>41</v>
      </c>
      <c r="X95" t="s">
        <v>261</v>
      </c>
      <c r="Y95" t="s">
        <v>74</v>
      </c>
      <c r="Z95" t="s">
        <v>139</v>
      </c>
      <c r="AA95" t="s">
        <v>115</v>
      </c>
      <c r="AB95">
        <v>0</v>
      </c>
      <c r="AC95">
        <v>0</v>
      </c>
      <c r="AD95">
        <v>2</v>
      </c>
      <c r="AE95">
        <v>847.24</v>
      </c>
      <c r="AF95">
        <v>0</v>
      </c>
      <c r="AG95">
        <v>84.72</v>
      </c>
      <c r="AH95">
        <v>2.75</v>
      </c>
      <c r="AI95">
        <v>934.71</v>
      </c>
      <c r="AJ95">
        <v>540.52</v>
      </c>
      <c r="AK95">
        <v>391.44</v>
      </c>
      <c r="AL95">
        <v>41.88</v>
      </c>
      <c r="AM95">
        <v>1720.78</v>
      </c>
      <c r="AN95" t="b">
        <v>1</v>
      </c>
      <c r="AO95">
        <v>3</v>
      </c>
    </row>
    <row r="96" spans="1:41" x14ac:dyDescent="0.35">
      <c r="A96" t="s">
        <v>599</v>
      </c>
      <c r="B96" s="1">
        <v>45719</v>
      </c>
      <c r="C96" s="2">
        <v>0.10429398148148149</v>
      </c>
      <c r="D96" t="s">
        <v>41</v>
      </c>
      <c r="E96" t="s">
        <v>42</v>
      </c>
      <c r="F96" t="s">
        <v>600</v>
      </c>
      <c r="G96" t="s">
        <v>601</v>
      </c>
      <c r="H96">
        <v>56</v>
      </c>
      <c r="I96" t="s">
        <v>43</v>
      </c>
      <c r="J96" t="s">
        <v>88</v>
      </c>
      <c r="K96" t="s">
        <v>45</v>
      </c>
      <c r="L96" t="s">
        <v>602</v>
      </c>
      <c r="M96" t="s">
        <v>69</v>
      </c>
      <c r="N96" t="s">
        <v>62</v>
      </c>
      <c r="O96" t="s">
        <v>70</v>
      </c>
      <c r="P96">
        <v>30573</v>
      </c>
      <c r="Q96" t="s">
        <v>81</v>
      </c>
      <c r="R96" t="s">
        <v>50</v>
      </c>
      <c r="S96" t="s">
        <v>64</v>
      </c>
      <c r="T96" t="s">
        <v>52</v>
      </c>
      <c r="U96" t="s">
        <v>221</v>
      </c>
      <c r="V96" t="s">
        <v>54</v>
      </c>
      <c r="W96" t="s">
        <v>41</v>
      </c>
      <c r="X96" t="s">
        <v>156</v>
      </c>
      <c r="Y96" t="s">
        <v>56</v>
      </c>
      <c r="Z96" t="s">
        <v>57</v>
      </c>
      <c r="AA96" t="s">
        <v>220</v>
      </c>
      <c r="AB96">
        <v>0</v>
      </c>
      <c r="AC96">
        <v>0</v>
      </c>
      <c r="AD96">
        <v>1</v>
      </c>
      <c r="AE96">
        <v>102.67</v>
      </c>
      <c r="AF96">
        <v>0</v>
      </c>
      <c r="AG96">
        <v>19.510000000000002</v>
      </c>
      <c r="AH96">
        <v>5.0999999999999996</v>
      </c>
      <c r="AI96">
        <v>127.28</v>
      </c>
      <c r="AJ96">
        <v>47.98</v>
      </c>
      <c r="AK96">
        <v>74.2</v>
      </c>
      <c r="AL96">
        <v>58.3</v>
      </c>
      <c r="AM96">
        <v>4956.99</v>
      </c>
      <c r="AN96" t="b">
        <v>1</v>
      </c>
      <c r="AO96">
        <v>6</v>
      </c>
    </row>
    <row r="97" spans="1:41" x14ac:dyDescent="0.35">
      <c r="A97" t="s">
        <v>603</v>
      </c>
      <c r="B97" s="1">
        <v>45998</v>
      </c>
      <c r="C97" s="2">
        <v>0.86872685185185183</v>
      </c>
      <c r="D97" t="s">
        <v>41</v>
      </c>
      <c r="E97" t="s">
        <v>77</v>
      </c>
      <c r="F97" t="s">
        <v>604</v>
      </c>
      <c r="G97" t="s">
        <v>605</v>
      </c>
      <c r="H97">
        <v>39</v>
      </c>
      <c r="I97" t="s">
        <v>43</v>
      </c>
      <c r="J97" t="s">
        <v>44</v>
      </c>
      <c r="K97" t="s">
        <v>45</v>
      </c>
      <c r="L97" t="s">
        <v>606</v>
      </c>
      <c r="M97" t="s">
        <v>116</v>
      </c>
      <c r="N97" t="s">
        <v>117</v>
      </c>
      <c r="O97" t="s">
        <v>118</v>
      </c>
      <c r="P97">
        <v>38678</v>
      </c>
      <c r="Q97" t="s">
        <v>113</v>
      </c>
      <c r="R97" t="s">
        <v>50</v>
      </c>
      <c r="S97" t="s">
        <v>119</v>
      </c>
      <c r="T97" t="s">
        <v>65</v>
      </c>
      <c r="U97" t="s">
        <v>83</v>
      </c>
      <c r="V97" t="s">
        <v>54</v>
      </c>
      <c r="W97" t="s">
        <v>41</v>
      </c>
      <c r="X97" t="s">
        <v>98</v>
      </c>
      <c r="Y97" t="s">
        <v>74</v>
      </c>
      <c r="Z97" t="s">
        <v>75</v>
      </c>
      <c r="AA97" t="s">
        <v>159</v>
      </c>
      <c r="AB97">
        <v>0</v>
      </c>
      <c r="AC97">
        <v>0</v>
      </c>
      <c r="AD97">
        <v>8</v>
      </c>
      <c r="AE97">
        <v>1396.46</v>
      </c>
      <c r="AF97">
        <v>0</v>
      </c>
      <c r="AG97">
        <v>139.63999999999999</v>
      </c>
      <c r="AH97">
        <v>70.180000000000007</v>
      </c>
      <c r="AI97">
        <v>1606.28</v>
      </c>
      <c r="AJ97">
        <v>702.64</v>
      </c>
      <c r="AK97">
        <v>833.46</v>
      </c>
      <c r="AL97">
        <v>51.89</v>
      </c>
      <c r="AM97">
        <v>12936.4</v>
      </c>
      <c r="AN97" t="b">
        <v>1</v>
      </c>
      <c r="AO97">
        <v>10</v>
      </c>
    </row>
    <row r="98" spans="1:41" x14ac:dyDescent="0.35">
      <c r="A98" t="s">
        <v>607</v>
      </c>
      <c r="B98" s="1">
        <v>45570</v>
      </c>
      <c r="C98" s="2">
        <v>0.93584490740740744</v>
      </c>
      <c r="D98" t="s">
        <v>41</v>
      </c>
      <c r="E98" t="s">
        <v>42</v>
      </c>
      <c r="F98" t="s">
        <v>608</v>
      </c>
      <c r="G98" t="s">
        <v>609</v>
      </c>
      <c r="H98">
        <v>60</v>
      </c>
      <c r="I98" t="s">
        <v>78</v>
      </c>
      <c r="J98" t="s">
        <v>68</v>
      </c>
      <c r="K98" t="s">
        <v>45</v>
      </c>
      <c r="L98" t="s">
        <v>610</v>
      </c>
      <c r="M98" t="s">
        <v>293</v>
      </c>
      <c r="N98" t="s">
        <v>123</v>
      </c>
      <c r="O98" t="s">
        <v>118</v>
      </c>
      <c r="P98">
        <v>56245</v>
      </c>
      <c r="Q98" t="s">
        <v>96</v>
      </c>
      <c r="R98" t="s">
        <v>50</v>
      </c>
      <c r="S98" t="s">
        <v>124</v>
      </c>
      <c r="T98" t="s">
        <v>52</v>
      </c>
      <c r="U98" t="s">
        <v>324</v>
      </c>
      <c r="V98" t="s">
        <v>54</v>
      </c>
      <c r="W98" t="s">
        <v>41</v>
      </c>
      <c r="X98" t="s">
        <v>73</v>
      </c>
      <c r="Y98" t="s">
        <v>85</v>
      </c>
      <c r="Z98" t="s">
        <v>86</v>
      </c>
      <c r="AA98" t="s">
        <v>192</v>
      </c>
      <c r="AB98">
        <v>0</v>
      </c>
      <c r="AC98">
        <v>0</v>
      </c>
      <c r="AD98">
        <v>8</v>
      </c>
      <c r="AE98">
        <v>3429.37</v>
      </c>
      <c r="AF98">
        <v>0</v>
      </c>
      <c r="AG98">
        <v>685.87</v>
      </c>
      <c r="AH98">
        <v>12.07</v>
      </c>
      <c r="AI98">
        <v>4127.3100000000004</v>
      </c>
      <c r="AJ98">
        <v>1802.45</v>
      </c>
      <c r="AK98">
        <v>2312.79</v>
      </c>
      <c r="AL98">
        <v>56.04</v>
      </c>
      <c r="AM98">
        <v>14457.08</v>
      </c>
      <c r="AN98" t="b">
        <v>1</v>
      </c>
      <c r="AO98">
        <v>11</v>
      </c>
    </row>
    <row r="99" spans="1:41" x14ac:dyDescent="0.35">
      <c r="A99" t="s">
        <v>611</v>
      </c>
      <c r="B99" s="1">
        <v>45146</v>
      </c>
      <c r="C99" s="2">
        <v>0.61025462962962962</v>
      </c>
      <c r="D99" t="s">
        <v>41</v>
      </c>
      <c r="E99" t="s">
        <v>42</v>
      </c>
      <c r="F99" t="s">
        <v>612</v>
      </c>
      <c r="G99" t="s">
        <v>613</v>
      </c>
      <c r="H99">
        <v>45</v>
      </c>
      <c r="I99" t="s">
        <v>78</v>
      </c>
      <c r="J99" t="s">
        <v>88</v>
      </c>
      <c r="K99" t="s">
        <v>45</v>
      </c>
      <c r="L99" t="s">
        <v>614</v>
      </c>
      <c r="M99" t="s">
        <v>318</v>
      </c>
      <c r="N99" t="s">
        <v>90</v>
      </c>
      <c r="O99" t="s">
        <v>106</v>
      </c>
      <c r="P99">
        <v>26987</v>
      </c>
      <c r="Q99" t="s">
        <v>96</v>
      </c>
      <c r="R99" t="s">
        <v>50</v>
      </c>
      <c r="S99" t="s">
        <v>91</v>
      </c>
      <c r="T99" t="s">
        <v>71</v>
      </c>
      <c r="U99" t="s">
        <v>324</v>
      </c>
      <c r="V99" t="s">
        <v>54</v>
      </c>
      <c r="W99" t="s">
        <v>41</v>
      </c>
      <c r="X99" t="s">
        <v>261</v>
      </c>
      <c r="Y99" t="s">
        <v>56</v>
      </c>
      <c r="Z99" t="s">
        <v>57</v>
      </c>
      <c r="AA99" t="s">
        <v>192</v>
      </c>
      <c r="AB99">
        <v>0</v>
      </c>
      <c r="AC99">
        <v>0</v>
      </c>
      <c r="AD99">
        <v>5</v>
      </c>
      <c r="AE99">
        <v>1336.12</v>
      </c>
      <c r="AF99">
        <v>0</v>
      </c>
      <c r="AG99">
        <v>173.69</v>
      </c>
      <c r="AH99">
        <v>17.329999999999998</v>
      </c>
      <c r="AI99">
        <v>1527.14</v>
      </c>
      <c r="AJ99">
        <v>684.48</v>
      </c>
      <c r="AK99">
        <v>825.33</v>
      </c>
      <c r="AL99">
        <v>54.04</v>
      </c>
      <c r="AM99">
        <v>9285.4599999999991</v>
      </c>
      <c r="AN99" t="b">
        <v>1</v>
      </c>
      <c r="AO99">
        <v>9</v>
      </c>
    </row>
    <row r="100" spans="1:41" x14ac:dyDescent="0.35">
      <c r="A100" t="s">
        <v>615</v>
      </c>
      <c r="B100" s="1">
        <v>45940</v>
      </c>
      <c r="C100" s="2">
        <v>0.22576388888888888</v>
      </c>
      <c r="D100" t="s">
        <v>41</v>
      </c>
      <c r="E100" t="s">
        <v>42</v>
      </c>
      <c r="F100" t="s">
        <v>616</v>
      </c>
      <c r="G100" t="s">
        <v>617</v>
      </c>
      <c r="H100">
        <v>19</v>
      </c>
      <c r="I100" t="s">
        <v>43</v>
      </c>
      <c r="J100" t="s">
        <v>68</v>
      </c>
      <c r="K100" t="s">
        <v>45</v>
      </c>
      <c r="L100" t="s">
        <v>618</v>
      </c>
      <c r="M100" t="s">
        <v>496</v>
      </c>
      <c r="N100" t="s">
        <v>90</v>
      </c>
      <c r="O100" t="s">
        <v>80</v>
      </c>
      <c r="P100">
        <v>52893</v>
      </c>
      <c r="Q100" t="s">
        <v>113</v>
      </c>
      <c r="R100" t="s">
        <v>50</v>
      </c>
      <c r="S100" t="s">
        <v>91</v>
      </c>
      <c r="T100" t="s">
        <v>65</v>
      </c>
      <c r="U100" t="s">
        <v>221</v>
      </c>
      <c r="V100" t="s">
        <v>54</v>
      </c>
      <c r="W100" t="s">
        <v>41</v>
      </c>
      <c r="X100" t="s">
        <v>84</v>
      </c>
      <c r="Y100" t="s">
        <v>85</v>
      </c>
      <c r="Z100" t="s">
        <v>86</v>
      </c>
      <c r="AA100" t="s">
        <v>140</v>
      </c>
      <c r="AB100">
        <v>0</v>
      </c>
      <c r="AC100">
        <v>0</v>
      </c>
      <c r="AD100">
        <v>3</v>
      </c>
      <c r="AE100">
        <v>890.86</v>
      </c>
      <c r="AF100">
        <v>0</v>
      </c>
      <c r="AG100">
        <v>115.81</v>
      </c>
      <c r="AH100">
        <v>18.850000000000001</v>
      </c>
      <c r="AI100">
        <v>1025.52</v>
      </c>
      <c r="AJ100">
        <v>464.41</v>
      </c>
      <c r="AK100">
        <v>542.26</v>
      </c>
      <c r="AL100">
        <v>52.88</v>
      </c>
      <c r="AM100">
        <v>5177.26</v>
      </c>
      <c r="AN100" t="b">
        <v>1</v>
      </c>
      <c r="AO100">
        <v>7</v>
      </c>
    </row>
    <row r="101" spans="1:41" x14ac:dyDescent="0.35">
      <c r="A101" t="s">
        <v>619</v>
      </c>
      <c r="B101" s="1">
        <v>45024</v>
      </c>
      <c r="C101" s="2">
        <v>0.28317129629629628</v>
      </c>
      <c r="D101" t="s">
        <v>41</v>
      </c>
      <c r="E101" t="s">
        <v>77</v>
      </c>
      <c r="F101" t="s">
        <v>620</v>
      </c>
      <c r="G101" t="s">
        <v>621</v>
      </c>
      <c r="H101">
        <v>40</v>
      </c>
      <c r="I101" t="s">
        <v>43</v>
      </c>
      <c r="J101" t="s">
        <v>44</v>
      </c>
      <c r="K101" t="s">
        <v>45</v>
      </c>
      <c r="L101" t="s">
        <v>622</v>
      </c>
      <c r="M101" t="s">
        <v>148</v>
      </c>
      <c r="N101" t="s">
        <v>47</v>
      </c>
      <c r="O101" t="s">
        <v>70</v>
      </c>
      <c r="P101">
        <v>85180</v>
      </c>
      <c r="Q101" t="s">
        <v>137</v>
      </c>
      <c r="R101" t="s">
        <v>50</v>
      </c>
      <c r="S101" t="s">
        <v>51</v>
      </c>
      <c r="T101" t="s">
        <v>52</v>
      </c>
      <c r="U101" t="s">
        <v>72</v>
      </c>
      <c r="V101" t="s">
        <v>54</v>
      </c>
      <c r="W101" t="s">
        <v>41</v>
      </c>
      <c r="X101" t="s">
        <v>98</v>
      </c>
      <c r="Y101" t="s">
        <v>99</v>
      </c>
      <c r="Z101" t="s">
        <v>57</v>
      </c>
      <c r="AA101" t="s">
        <v>159</v>
      </c>
      <c r="AB101">
        <v>0</v>
      </c>
      <c r="AC101">
        <v>0</v>
      </c>
      <c r="AD101">
        <v>5</v>
      </c>
      <c r="AE101">
        <v>1797.1</v>
      </c>
      <c r="AF101">
        <v>0</v>
      </c>
      <c r="AG101">
        <v>125.79</v>
      </c>
      <c r="AH101">
        <v>2.94</v>
      </c>
      <c r="AI101">
        <v>1925.83</v>
      </c>
      <c r="AJ101">
        <v>864.55</v>
      </c>
      <c r="AK101">
        <v>1058.3399999999999</v>
      </c>
      <c r="AL101">
        <v>54.96</v>
      </c>
      <c r="AM101">
        <v>4952.76</v>
      </c>
      <c r="AN101" t="b">
        <v>1</v>
      </c>
      <c r="AO101">
        <v>5</v>
      </c>
    </row>
    <row r="102" spans="1:41" x14ac:dyDescent="0.35">
      <c r="A102" t="s">
        <v>623</v>
      </c>
      <c r="B102" s="1">
        <v>44349</v>
      </c>
      <c r="C102" s="2">
        <v>0.88775462962962959</v>
      </c>
      <c r="D102" t="s">
        <v>41</v>
      </c>
      <c r="E102" t="s">
        <v>42</v>
      </c>
      <c r="F102" t="s">
        <v>624</v>
      </c>
      <c r="G102" t="s">
        <v>625</v>
      </c>
      <c r="H102">
        <v>47</v>
      </c>
      <c r="I102" t="s">
        <v>78</v>
      </c>
      <c r="J102" t="s">
        <v>44</v>
      </c>
      <c r="K102" t="s">
        <v>45</v>
      </c>
      <c r="L102" t="s">
        <v>626</v>
      </c>
      <c r="M102" t="s">
        <v>505</v>
      </c>
      <c r="N102" t="s">
        <v>165</v>
      </c>
      <c r="O102" t="s">
        <v>118</v>
      </c>
      <c r="P102">
        <v>9372</v>
      </c>
      <c r="Q102" t="s">
        <v>113</v>
      </c>
      <c r="R102" t="s">
        <v>50</v>
      </c>
      <c r="S102" t="s">
        <v>166</v>
      </c>
      <c r="T102" t="s">
        <v>71</v>
      </c>
      <c r="U102" t="s">
        <v>66</v>
      </c>
      <c r="V102" t="s">
        <v>54</v>
      </c>
      <c r="W102" t="s">
        <v>41</v>
      </c>
      <c r="X102" t="s">
        <v>261</v>
      </c>
      <c r="Y102" t="s">
        <v>85</v>
      </c>
      <c r="Z102" t="s">
        <v>86</v>
      </c>
      <c r="AA102" t="s">
        <v>100</v>
      </c>
      <c r="AB102">
        <v>0</v>
      </c>
      <c r="AC102">
        <v>0</v>
      </c>
      <c r="AD102">
        <v>4</v>
      </c>
      <c r="AE102">
        <v>1245.02</v>
      </c>
      <c r="AF102">
        <v>0</v>
      </c>
      <c r="AG102">
        <v>62.25</v>
      </c>
      <c r="AH102">
        <v>11.2</v>
      </c>
      <c r="AI102">
        <v>1318.47</v>
      </c>
      <c r="AJ102">
        <v>661.4</v>
      </c>
      <c r="AK102">
        <v>645.87</v>
      </c>
      <c r="AL102">
        <v>48.99</v>
      </c>
      <c r="AM102">
        <v>7847.95</v>
      </c>
      <c r="AN102" t="b">
        <v>1</v>
      </c>
      <c r="AO102">
        <v>9</v>
      </c>
    </row>
    <row r="103" spans="1:41" x14ac:dyDescent="0.35">
      <c r="A103" t="s">
        <v>627</v>
      </c>
      <c r="B103" s="1">
        <v>45845</v>
      </c>
      <c r="C103" s="2">
        <v>0.56200231481481477</v>
      </c>
      <c r="D103" t="s">
        <v>41</v>
      </c>
      <c r="E103" t="s">
        <v>77</v>
      </c>
      <c r="F103" t="s">
        <v>628</v>
      </c>
      <c r="G103" t="s">
        <v>629</v>
      </c>
      <c r="H103">
        <v>59</v>
      </c>
      <c r="I103" t="s">
        <v>78</v>
      </c>
      <c r="J103" t="s">
        <v>88</v>
      </c>
      <c r="K103" t="s">
        <v>45</v>
      </c>
      <c r="L103" t="s">
        <v>630</v>
      </c>
      <c r="M103" t="s">
        <v>193</v>
      </c>
      <c r="N103" t="s">
        <v>47</v>
      </c>
      <c r="O103" t="s">
        <v>106</v>
      </c>
      <c r="P103">
        <v>22518</v>
      </c>
      <c r="Q103" t="s">
        <v>96</v>
      </c>
      <c r="R103" t="s">
        <v>50</v>
      </c>
      <c r="S103" t="s">
        <v>51</v>
      </c>
      <c r="T103" t="s">
        <v>52</v>
      </c>
      <c r="U103" t="s">
        <v>120</v>
      </c>
      <c r="V103" t="s">
        <v>54</v>
      </c>
      <c r="W103" t="s">
        <v>41</v>
      </c>
      <c r="X103" t="s">
        <v>172</v>
      </c>
      <c r="Y103" t="s">
        <v>108</v>
      </c>
      <c r="Z103" t="s">
        <v>245</v>
      </c>
      <c r="AA103" t="s">
        <v>192</v>
      </c>
      <c r="AB103">
        <v>0</v>
      </c>
      <c r="AC103">
        <v>0</v>
      </c>
      <c r="AD103">
        <v>12</v>
      </c>
      <c r="AE103">
        <v>4428.0600000000004</v>
      </c>
      <c r="AF103">
        <v>0</v>
      </c>
      <c r="AG103">
        <v>309.95999999999998</v>
      </c>
      <c r="AH103">
        <v>24.08</v>
      </c>
      <c r="AI103">
        <v>4762.1000000000004</v>
      </c>
      <c r="AJ103">
        <v>2253.09</v>
      </c>
      <c r="AK103">
        <v>2484.9299999999998</v>
      </c>
      <c r="AL103">
        <v>52.18</v>
      </c>
      <c r="AM103">
        <v>15776.31</v>
      </c>
      <c r="AN103" t="b">
        <v>1</v>
      </c>
      <c r="AO103">
        <v>9</v>
      </c>
    </row>
    <row r="104" spans="1:41" x14ac:dyDescent="0.35">
      <c r="A104" t="s">
        <v>631</v>
      </c>
      <c r="B104" s="1">
        <v>45079</v>
      </c>
      <c r="C104" s="2">
        <v>0.26034722222222223</v>
      </c>
      <c r="D104" t="s">
        <v>41</v>
      </c>
      <c r="E104" t="s">
        <v>77</v>
      </c>
      <c r="F104" t="s">
        <v>632</v>
      </c>
      <c r="G104" t="s">
        <v>633</v>
      </c>
      <c r="H104">
        <v>49</v>
      </c>
      <c r="I104" t="s">
        <v>78</v>
      </c>
      <c r="J104" t="s">
        <v>88</v>
      </c>
      <c r="K104" t="s">
        <v>45</v>
      </c>
      <c r="L104" t="s">
        <v>634</v>
      </c>
      <c r="M104" t="s">
        <v>303</v>
      </c>
      <c r="N104" t="s">
        <v>165</v>
      </c>
      <c r="O104" t="s">
        <v>118</v>
      </c>
      <c r="P104">
        <v>24231</v>
      </c>
      <c r="Q104" t="s">
        <v>113</v>
      </c>
      <c r="R104" t="s">
        <v>50</v>
      </c>
      <c r="S104" t="s">
        <v>166</v>
      </c>
      <c r="T104" t="s">
        <v>65</v>
      </c>
      <c r="U104" t="s">
        <v>120</v>
      </c>
      <c r="V104" t="s">
        <v>54</v>
      </c>
      <c r="W104" t="s">
        <v>41</v>
      </c>
      <c r="X104" t="s">
        <v>84</v>
      </c>
      <c r="Y104" t="s">
        <v>56</v>
      </c>
      <c r="Z104" t="s">
        <v>57</v>
      </c>
      <c r="AA104" t="s">
        <v>167</v>
      </c>
      <c r="AB104">
        <v>0</v>
      </c>
      <c r="AC104">
        <v>0</v>
      </c>
      <c r="AD104">
        <v>6</v>
      </c>
      <c r="AE104">
        <v>1239.6400000000001</v>
      </c>
      <c r="AF104">
        <v>0</v>
      </c>
      <c r="AG104">
        <v>61.98</v>
      </c>
      <c r="AH104">
        <v>28.27</v>
      </c>
      <c r="AI104">
        <v>1329.89</v>
      </c>
      <c r="AJ104">
        <v>542.74</v>
      </c>
      <c r="AK104">
        <v>758.88</v>
      </c>
      <c r="AL104">
        <v>57.06</v>
      </c>
      <c r="AM104">
        <v>10799.93</v>
      </c>
      <c r="AN104" t="b">
        <v>1</v>
      </c>
      <c r="AO104">
        <v>4</v>
      </c>
    </row>
    <row r="105" spans="1:41" x14ac:dyDescent="0.35">
      <c r="A105" t="s">
        <v>635</v>
      </c>
      <c r="B105" s="1">
        <v>45327</v>
      </c>
      <c r="C105" s="2">
        <v>1.7696759259259259E-2</v>
      </c>
      <c r="D105" t="s">
        <v>41</v>
      </c>
      <c r="E105" t="s">
        <v>42</v>
      </c>
      <c r="F105" t="s">
        <v>636</v>
      </c>
      <c r="G105" t="s">
        <v>637</v>
      </c>
      <c r="H105">
        <v>24</v>
      </c>
      <c r="I105" t="s">
        <v>78</v>
      </c>
      <c r="J105" t="s">
        <v>88</v>
      </c>
      <c r="K105" t="s">
        <v>45</v>
      </c>
      <c r="L105" t="s">
        <v>638</v>
      </c>
      <c r="M105" t="s">
        <v>193</v>
      </c>
      <c r="N105" t="s">
        <v>47</v>
      </c>
      <c r="O105" t="s">
        <v>106</v>
      </c>
      <c r="P105">
        <v>18761</v>
      </c>
      <c r="Q105" t="s">
        <v>49</v>
      </c>
      <c r="R105" t="s">
        <v>50</v>
      </c>
      <c r="S105" t="s">
        <v>51</v>
      </c>
      <c r="T105" t="s">
        <v>52</v>
      </c>
      <c r="U105" t="s">
        <v>72</v>
      </c>
      <c r="V105" t="s">
        <v>54</v>
      </c>
      <c r="W105" t="s">
        <v>41</v>
      </c>
      <c r="X105" t="s">
        <v>84</v>
      </c>
      <c r="Y105" t="s">
        <v>56</v>
      </c>
      <c r="Z105" t="s">
        <v>57</v>
      </c>
      <c r="AA105" t="s">
        <v>115</v>
      </c>
      <c r="AB105">
        <v>0</v>
      </c>
      <c r="AC105">
        <v>0</v>
      </c>
      <c r="AD105">
        <v>5</v>
      </c>
      <c r="AE105">
        <v>1166.58</v>
      </c>
      <c r="AF105">
        <v>0</v>
      </c>
      <c r="AG105">
        <v>81.66</v>
      </c>
      <c r="AH105">
        <v>24.73</v>
      </c>
      <c r="AI105">
        <v>1272.97</v>
      </c>
      <c r="AJ105">
        <v>545.53</v>
      </c>
      <c r="AK105">
        <v>702.71</v>
      </c>
      <c r="AL105">
        <v>55.2</v>
      </c>
      <c r="AM105">
        <v>12371.04</v>
      </c>
      <c r="AN105" t="b">
        <v>1</v>
      </c>
      <c r="AO105">
        <v>11</v>
      </c>
    </row>
    <row r="106" spans="1:41" x14ac:dyDescent="0.35">
      <c r="A106" t="s">
        <v>639</v>
      </c>
      <c r="B106" s="1">
        <v>44901</v>
      </c>
      <c r="C106" s="2">
        <v>0.78260416666666666</v>
      </c>
      <c r="D106" t="s">
        <v>41</v>
      </c>
      <c r="E106" t="s">
        <v>42</v>
      </c>
      <c r="F106" t="s">
        <v>640</v>
      </c>
      <c r="G106" t="s">
        <v>641</v>
      </c>
      <c r="H106">
        <v>27</v>
      </c>
      <c r="I106" t="s">
        <v>43</v>
      </c>
      <c r="J106" t="s">
        <v>44</v>
      </c>
      <c r="K106" t="s">
        <v>45</v>
      </c>
      <c r="L106" t="s">
        <v>642</v>
      </c>
      <c r="M106" t="s">
        <v>160</v>
      </c>
      <c r="N106" t="s">
        <v>123</v>
      </c>
      <c r="O106" t="s">
        <v>118</v>
      </c>
      <c r="P106">
        <v>39863</v>
      </c>
      <c r="Q106" t="s">
        <v>113</v>
      </c>
      <c r="R106" t="s">
        <v>50</v>
      </c>
      <c r="S106" t="s">
        <v>124</v>
      </c>
      <c r="T106" t="s">
        <v>71</v>
      </c>
      <c r="U106" t="s">
        <v>72</v>
      </c>
      <c r="V106" t="s">
        <v>54</v>
      </c>
      <c r="W106" t="s">
        <v>41</v>
      </c>
      <c r="X106" t="s">
        <v>55</v>
      </c>
      <c r="Y106" t="s">
        <v>99</v>
      </c>
      <c r="Z106" t="s">
        <v>57</v>
      </c>
      <c r="AA106" t="s">
        <v>203</v>
      </c>
      <c r="AB106">
        <v>0</v>
      </c>
      <c r="AC106">
        <v>0</v>
      </c>
      <c r="AD106">
        <v>5</v>
      </c>
      <c r="AE106">
        <v>2260.42</v>
      </c>
      <c r="AF106">
        <v>0</v>
      </c>
      <c r="AG106">
        <v>452.08</v>
      </c>
      <c r="AH106">
        <v>5</v>
      </c>
      <c r="AI106">
        <v>2717.5</v>
      </c>
      <c r="AJ106">
        <v>1249.8</v>
      </c>
      <c r="AK106">
        <v>1462.7</v>
      </c>
      <c r="AL106">
        <v>53.83</v>
      </c>
      <c r="AM106">
        <v>8802.83</v>
      </c>
      <c r="AN106" t="b">
        <v>1</v>
      </c>
      <c r="AO106">
        <v>5</v>
      </c>
    </row>
    <row r="107" spans="1:41" x14ac:dyDescent="0.35">
      <c r="A107" t="s">
        <v>643</v>
      </c>
      <c r="B107" s="1">
        <v>44479</v>
      </c>
      <c r="C107" s="2">
        <v>0.97944444444444445</v>
      </c>
      <c r="D107" t="s">
        <v>41</v>
      </c>
      <c r="E107" t="s">
        <v>42</v>
      </c>
      <c r="F107" t="s">
        <v>644</v>
      </c>
      <c r="G107" t="s">
        <v>645</v>
      </c>
      <c r="H107">
        <v>21</v>
      </c>
      <c r="I107" t="s">
        <v>78</v>
      </c>
      <c r="J107" t="s">
        <v>88</v>
      </c>
      <c r="K107" t="s">
        <v>45</v>
      </c>
      <c r="L107" t="s">
        <v>646</v>
      </c>
      <c r="M107" t="s">
        <v>130</v>
      </c>
      <c r="N107" t="s">
        <v>47</v>
      </c>
      <c r="O107" t="s">
        <v>70</v>
      </c>
      <c r="P107">
        <v>35744</v>
      </c>
      <c r="Q107" t="s">
        <v>113</v>
      </c>
      <c r="R107" t="s">
        <v>50</v>
      </c>
      <c r="S107" t="s">
        <v>51</v>
      </c>
      <c r="T107" t="s">
        <v>71</v>
      </c>
      <c r="U107" t="s">
        <v>120</v>
      </c>
      <c r="V107" t="s">
        <v>54</v>
      </c>
      <c r="W107" t="s">
        <v>41</v>
      </c>
      <c r="X107" t="s">
        <v>98</v>
      </c>
      <c r="Y107" t="s">
        <v>93</v>
      </c>
      <c r="Z107" t="s">
        <v>94</v>
      </c>
      <c r="AA107" t="s">
        <v>192</v>
      </c>
      <c r="AB107">
        <v>0</v>
      </c>
      <c r="AC107">
        <v>0</v>
      </c>
      <c r="AD107">
        <v>1</v>
      </c>
      <c r="AE107">
        <v>159.99</v>
      </c>
      <c r="AF107">
        <v>0</v>
      </c>
      <c r="AG107">
        <v>11.2</v>
      </c>
      <c r="AH107">
        <v>3.33</v>
      </c>
      <c r="AI107">
        <v>174.52</v>
      </c>
      <c r="AJ107">
        <v>50.1</v>
      </c>
      <c r="AK107">
        <v>121.09</v>
      </c>
      <c r="AL107">
        <v>69.38</v>
      </c>
      <c r="AM107">
        <v>4207.45</v>
      </c>
      <c r="AN107" t="b">
        <v>1</v>
      </c>
      <c r="AO107">
        <v>4</v>
      </c>
    </row>
    <row r="108" spans="1:41" x14ac:dyDescent="0.35">
      <c r="A108" t="s">
        <v>647</v>
      </c>
      <c r="B108" s="1">
        <v>45261</v>
      </c>
      <c r="C108" s="2">
        <v>0.17626157407407408</v>
      </c>
      <c r="D108" t="s">
        <v>41</v>
      </c>
      <c r="E108" t="s">
        <v>42</v>
      </c>
      <c r="F108" t="s">
        <v>648</v>
      </c>
      <c r="G108" t="s">
        <v>649</v>
      </c>
      <c r="H108">
        <v>50</v>
      </c>
      <c r="I108" t="s">
        <v>43</v>
      </c>
      <c r="J108" t="s">
        <v>88</v>
      </c>
      <c r="K108" t="s">
        <v>45</v>
      </c>
      <c r="L108" t="s">
        <v>650</v>
      </c>
      <c r="M108" t="s">
        <v>105</v>
      </c>
      <c r="N108" t="s">
        <v>47</v>
      </c>
      <c r="O108" t="s">
        <v>106</v>
      </c>
      <c r="P108">
        <v>46252</v>
      </c>
      <c r="Q108" t="s">
        <v>137</v>
      </c>
      <c r="R108" t="s">
        <v>50</v>
      </c>
      <c r="S108" t="s">
        <v>51</v>
      </c>
      <c r="T108" t="s">
        <v>52</v>
      </c>
      <c r="U108" t="s">
        <v>145</v>
      </c>
      <c r="V108" t="s">
        <v>54</v>
      </c>
      <c r="W108" t="s">
        <v>41</v>
      </c>
      <c r="X108" t="s">
        <v>156</v>
      </c>
      <c r="Y108" t="s">
        <v>212</v>
      </c>
      <c r="Z108" t="s">
        <v>228</v>
      </c>
      <c r="AA108" t="s">
        <v>214</v>
      </c>
      <c r="AB108">
        <v>0</v>
      </c>
      <c r="AC108">
        <v>0</v>
      </c>
      <c r="AD108">
        <v>4</v>
      </c>
      <c r="AE108">
        <v>399.33</v>
      </c>
      <c r="AF108">
        <v>0</v>
      </c>
      <c r="AG108">
        <v>27.95</v>
      </c>
      <c r="AH108">
        <v>11.77</v>
      </c>
      <c r="AI108">
        <v>439.05</v>
      </c>
      <c r="AJ108">
        <v>159.38999999999999</v>
      </c>
      <c r="AK108">
        <v>267.89</v>
      </c>
      <c r="AL108">
        <v>61.02</v>
      </c>
      <c r="AM108">
        <v>12794.44</v>
      </c>
      <c r="AN108" t="b">
        <v>1</v>
      </c>
      <c r="AO108">
        <v>9</v>
      </c>
    </row>
    <row r="109" spans="1:41" x14ac:dyDescent="0.35">
      <c r="A109" t="s">
        <v>651</v>
      </c>
      <c r="B109" s="1">
        <v>45812</v>
      </c>
      <c r="C109" s="2">
        <v>0.11771990740740741</v>
      </c>
      <c r="D109" t="s">
        <v>41</v>
      </c>
      <c r="E109" t="s">
        <v>77</v>
      </c>
      <c r="F109" t="s">
        <v>652</v>
      </c>
      <c r="G109" t="s">
        <v>653</v>
      </c>
      <c r="H109">
        <v>47</v>
      </c>
      <c r="I109" t="s">
        <v>43</v>
      </c>
      <c r="J109" t="s">
        <v>68</v>
      </c>
      <c r="K109" t="s">
        <v>45</v>
      </c>
      <c r="L109" t="s">
        <v>654</v>
      </c>
      <c r="M109" t="s">
        <v>205</v>
      </c>
      <c r="N109" t="s">
        <v>62</v>
      </c>
      <c r="O109" t="s">
        <v>80</v>
      </c>
      <c r="P109">
        <v>7077</v>
      </c>
      <c r="Q109" t="s">
        <v>137</v>
      </c>
      <c r="R109" t="s">
        <v>50</v>
      </c>
      <c r="S109" t="s">
        <v>64</v>
      </c>
      <c r="T109" t="s">
        <v>52</v>
      </c>
      <c r="U109" t="s">
        <v>92</v>
      </c>
      <c r="V109" t="s">
        <v>54</v>
      </c>
      <c r="W109" t="s">
        <v>41</v>
      </c>
      <c r="X109" t="s">
        <v>176</v>
      </c>
      <c r="Y109" t="s">
        <v>108</v>
      </c>
      <c r="Z109" t="s">
        <v>109</v>
      </c>
      <c r="AA109" t="s">
        <v>238</v>
      </c>
      <c r="AB109">
        <v>0</v>
      </c>
      <c r="AC109">
        <v>0</v>
      </c>
      <c r="AD109">
        <v>6</v>
      </c>
      <c r="AE109">
        <v>881.68</v>
      </c>
      <c r="AF109">
        <v>0</v>
      </c>
      <c r="AG109">
        <v>167.51</v>
      </c>
      <c r="AH109">
        <v>10.11</v>
      </c>
      <c r="AI109">
        <v>1059.3</v>
      </c>
      <c r="AJ109">
        <v>443.85</v>
      </c>
      <c r="AK109">
        <v>605.34</v>
      </c>
      <c r="AL109">
        <v>57.15</v>
      </c>
      <c r="AM109">
        <v>5515.03</v>
      </c>
      <c r="AN109" t="b">
        <v>1</v>
      </c>
      <c r="AO109">
        <v>4</v>
      </c>
    </row>
    <row r="110" spans="1:41" x14ac:dyDescent="0.35">
      <c r="A110" t="s">
        <v>655</v>
      </c>
      <c r="B110" s="1">
        <v>44839</v>
      </c>
      <c r="C110" s="2">
        <v>0.56708333333333338</v>
      </c>
      <c r="D110" t="s">
        <v>41</v>
      </c>
      <c r="E110" t="s">
        <v>77</v>
      </c>
      <c r="F110" t="s">
        <v>656</v>
      </c>
      <c r="G110" t="s">
        <v>657</v>
      </c>
      <c r="H110">
        <v>61</v>
      </c>
      <c r="I110" t="s">
        <v>78</v>
      </c>
      <c r="J110" t="s">
        <v>88</v>
      </c>
      <c r="K110" t="s">
        <v>45</v>
      </c>
      <c r="L110" t="s">
        <v>658</v>
      </c>
      <c r="M110" t="s">
        <v>105</v>
      </c>
      <c r="N110" t="s">
        <v>47</v>
      </c>
      <c r="O110" t="s">
        <v>106</v>
      </c>
      <c r="P110">
        <v>95181</v>
      </c>
      <c r="Q110" t="s">
        <v>81</v>
      </c>
      <c r="R110" t="s">
        <v>50</v>
      </c>
      <c r="S110" t="s">
        <v>51</v>
      </c>
      <c r="T110" t="s">
        <v>52</v>
      </c>
      <c r="U110" t="s">
        <v>163</v>
      </c>
      <c r="V110" t="s">
        <v>54</v>
      </c>
      <c r="W110" t="s">
        <v>41</v>
      </c>
      <c r="X110" t="s">
        <v>73</v>
      </c>
      <c r="Y110" t="s">
        <v>99</v>
      </c>
      <c r="Z110" t="s">
        <v>57</v>
      </c>
      <c r="AA110" t="s">
        <v>222</v>
      </c>
      <c r="AB110">
        <v>0</v>
      </c>
      <c r="AC110">
        <v>0</v>
      </c>
      <c r="AD110">
        <v>4</v>
      </c>
      <c r="AE110">
        <v>661.68</v>
      </c>
      <c r="AF110">
        <v>0</v>
      </c>
      <c r="AG110">
        <v>46.32</v>
      </c>
      <c r="AH110">
        <v>5.67</v>
      </c>
      <c r="AI110">
        <v>713.67</v>
      </c>
      <c r="AJ110">
        <v>279.32</v>
      </c>
      <c r="AK110">
        <v>428.68</v>
      </c>
      <c r="AL110">
        <v>60.07</v>
      </c>
      <c r="AM110">
        <v>6543.15</v>
      </c>
      <c r="AN110" t="b">
        <v>1</v>
      </c>
      <c r="AO110">
        <v>8</v>
      </c>
    </row>
    <row r="111" spans="1:41" x14ac:dyDescent="0.35">
      <c r="A111" t="s">
        <v>659</v>
      </c>
      <c r="B111" s="1">
        <v>45027</v>
      </c>
      <c r="C111" s="2">
        <v>0.82388888888888889</v>
      </c>
      <c r="D111" t="s">
        <v>41</v>
      </c>
      <c r="E111" t="s">
        <v>59</v>
      </c>
      <c r="F111" t="s">
        <v>660</v>
      </c>
      <c r="G111" t="s">
        <v>661</v>
      </c>
      <c r="H111">
        <v>40</v>
      </c>
      <c r="I111" t="s">
        <v>43</v>
      </c>
      <c r="J111" t="s">
        <v>88</v>
      </c>
      <c r="K111" t="s">
        <v>152</v>
      </c>
      <c r="L111" t="s">
        <v>662</v>
      </c>
      <c r="M111" t="s">
        <v>323</v>
      </c>
      <c r="N111" t="s">
        <v>117</v>
      </c>
      <c r="O111" t="s">
        <v>106</v>
      </c>
      <c r="P111">
        <v>28517</v>
      </c>
      <c r="Q111" t="s">
        <v>113</v>
      </c>
      <c r="R111" t="s">
        <v>50</v>
      </c>
      <c r="S111" t="s">
        <v>119</v>
      </c>
      <c r="T111" t="s">
        <v>65</v>
      </c>
      <c r="U111" t="s">
        <v>53</v>
      </c>
      <c r="V111" t="s">
        <v>54</v>
      </c>
      <c r="W111" t="s">
        <v>41</v>
      </c>
      <c r="X111" t="s">
        <v>84</v>
      </c>
      <c r="Y111" t="s">
        <v>99</v>
      </c>
      <c r="Z111" t="s">
        <v>57</v>
      </c>
      <c r="AA111" t="s">
        <v>309</v>
      </c>
      <c r="AB111">
        <v>0</v>
      </c>
      <c r="AC111">
        <v>0</v>
      </c>
      <c r="AD111">
        <v>2</v>
      </c>
      <c r="AE111">
        <v>59.8</v>
      </c>
      <c r="AF111">
        <v>0</v>
      </c>
      <c r="AG111">
        <v>5.98</v>
      </c>
      <c r="AH111">
        <v>45.32</v>
      </c>
      <c r="AI111">
        <v>111.1</v>
      </c>
      <c r="AJ111">
        <v>26.22</v>
      </c>
      <c r="AK111">
        <v>39.56</v>
      </c>
      <c r="AL111">
        <v>35.61</v>
      </c>
      <c r="AM111">
        <v>453.85</v>
      </c>
      <c r="AN111" t="b">
        <v>1</v>
      </c>
      <c r="AO111">
        <v>3</v>
      </c>
    </row>
    <row r="112" spans="1:41" x14ac:dyDescent="0.35">
      <c r="A112" t="s">
        <v>663</v>
      </c>
      <c r="B112" s="1">
        <v>45453</v>
      </c>
      <c r="C112" s="2">
        <v>0.95583333333333331</v>
      </c>
      <c r="D112" t="s">
        <v>41</v>
      </c>
      <c r="E112" t="s">
        <v>42</v>
      </c>
      <c r="F112" t="s">
        <v>664</v>
      </c>
      <c r="G112" t="s">
        <v>665</v>
      </c>
      <c r="H112">
        <v>70</v>
      </c>
      <c r="I112" t="s">
        <v>43</v>
      </c>
      <c r="J112" t="s">
        <v>44</v>
      </c>
      <c r="K112" t="s">
        <v>45</v>
      </c>
      <c r="L112" t="s">
        <v>666</v>
      </c>
      <c r="M112" t="s">
        <v>89</v>
      </c>
      <c r="N112" t="s">
        <v>90</v>
      </c>
      <c r="O112" t="s">
        <v>48</v>
      </c>
      <c r="P112">
        <v>60019</v>
      </c>
      <c r="Q112" t="s">
        <v>96</v>
      </c>
      <c r="R112" t="s">
        <v>50</v>
      </c>
      <c r="S112" t="s">
        <v>91</v>
      </c>
      <c r="T112" t="s">
        <v>82</v>
      </c>
      <c r="U112" t="s">
        <v>145</v>
      </c>
      <c r="V112" t="s">
        <v>54</v>
      </c>
      <c r="W112" t="s">
        <v>41</v>
      </c>
      <c r="X112" t="s">
        <v>73</v>
      </c>
      <c r="Y112" t="s">
        <v>108</v>
      </c>
      <c r="Z112" t="s">
        <v>109</v>
      </c>
      <c r="AA112" t="s">
        <v>246</v>
      </c>
      <c r="AB112">
        <v>0</v>
      </c>
      <c r="AC112">
        <v>0</v>
      </c>
      <c r="AD112">
        <v>6</v>
      </c>
      <c r="AE112">
        <v>1091.95</v>
      </c>
      <c r="AF112">
        <v>0</v>
      </c>
      <c r="AG112">
        <v>141.94999999999999</v>
      </c>
      <c r="AH112">
        <v>54.09</v>
      </c>
      <c r="AI112">
        <v>1287.99</v>
      </c>
      <c r="AJ112">
        <v>593.94000000000005</v>
      </c>
      <c r="AK112">
        <v>639.96</v>
      </c>
      <c r="AL112">
        <v>49.69</v>
      </c>
      <c r="AM112">
        <v>5167.33</v>
      </c>
      <c r="AN112" t="b">
        <v>1</v>
      </c>
      <c r="AO112">
        <v>4</v>
      </c>
    </row>
    <row r="113" spans="1:41" x14ac:dyDescent="0.35">
      <c r="A113" t="s">
        <v>667</v>
      </c>
      <c r="B113" s="1">
        <v>44416</v>
      </c>
      <c r="C113" s="2">
        <v>0.3759953703703704</v>
      </c>
      <c r="D113" t="s">
        <v>41</v>
      </c>
      <c r="E113" t="s">
        <v>77</v>
      </c>
      <c r="F113" t="s">
        <v>668</v>
      </c>
      <c r="G113" t="s">
        <v>669</v>
      </c>
      <c r="H113">
        <v>24</v>
      </c>
      <c r="I113" t="s">
        <v>43</v>
      </c>
      <c r="J113" t="s">
        <v>88</v>
      </c>
      <c r="K113" t="s">
        <v>45</v>
      </c>
      <c r="L113" t="s">
        <v>670</v>
      </c>
      <c r="M113" t="s">
        <v>318</v>
      </c>
      <c r="N113" t="s">
        <v>90</v>
      </c>
      <c r="O113" t="s">
        <v>106</v>
      </c>
      <c r="P113">
        <v>46782</v>
      </c>
      <c r="Q113" t="s">
        <v>113</v>
      </c>
      <c r="R113" t="s">
        <v>50</v>
      </c>
      <c r="S113" t="s">
        <v>91</v>
      </c>
      <c r="T113" t="s">
        <v>52</v>
      </c>
      <c r="U113" t="s">
        <v>66</v>
      </c>
      <c r="V113" t="s">
        <v>54</v>
      </c>
      <c r="W113" t="s">
        <v>41</v>
      </c>
      <c r="X113" t="s">
        <v>55</v>
      </c>
      <c r="Y113" t="s">
        <v>131</v>
      </c>
      <c r="Z113" t="s">
        <v>132</v>
      </c>
      <c r="AA113" t="s">
        <v>121</v>
      </c>
      <c r="AB113">
        <v>0</v>
      </c>
      <c r="AC113">
        <v>0</v>
      </c>
      <c r="AD113">
        <v>4</v>
      </c>
      <c r="AE113">
        <v>2625.12</v>
      </c>
      <c r="AF113">
        <v>0</v>
      </c>
      <c r="AG113">
        <v>341.27</v>
      </c>
      <c r="AH113">
        <v>24.16</v>
      </c>
      <c r="AI113">
        <v>2990.55</v>
      </c>
      <c r="AJ113">
        <v>1648.97</v>
      </c>
      <c r="AK113">
        <v>1317.42</v>
      </c>
      <c r="AL113">
        <v>44.05</v>
      </c>
      <c r="AM113">
        <v>7005.73</v>
      </c>
      <c r="AN113" t="b">
        <v>1</v>
      </c>
      <c r="AO113">
        <v>8</v>
      </c>
    </row>
    <row r="114" spans="1:41" x14ac:dyDescent="0.35">
      <c r="A114" t="s">
        <v>671</v>
      </c>
      <c r="B114" s="1">
        <v>45816</v>
      </c>
      <c r="C114" s="2">
        <v>0.81383101851851847</v>
      </c>
      <c r="D114" t="s">
        <v>41</v>
      </c>
      <c r="E114" t="s">
        <v>42</v>
      </c>
      <c r="F114" t="s">
        <v>672</v>
      </c>
      <c r="G114" t="s">
        <v>673</v>
      </c>
      <c r="H114">
        <v>21</v>
      </c>
      <c r="I114" t="s">
        <v>43</v>
      </c>
      <c r="J114" t="s">
        <v>88</v>
      </c>
      <c r="K114" t="s">
        <v>45</v>
      </c>
      <c r="L114" t="s">
        <v>674</v>
      </c>
      <c r="M114" t="s">
        <v>112</v>
      </c>
      <c r="N114" t="s">
        <v>47</v>
      </c>
      <c r="O114" t="s">
        <v>48</v>
      </c>
      <c r="P114">
        <v>69976</v>
      </c>
      <c r="Q114" t="s">
        <v>96</v>
      </c>
      <c r="R114" t="s">
        <v>50</v>
      </c>
      <c r="S114" t="s">
        <v>51</v>
      </c>
      <c r="T114" t="s">
        <v>71</v>
      </c>
      <c r="U114" t="s">
        <v>83</v>
      </c>
      <c r="V114" t="s">
        <v>54</v>
      </c>
      <c r="W114" t="s">
        <v>41</v>
      </c>
      <c r="X114" t="s">
        <v>55</v>
      </c>
      <c r="Y114" t="s">
        <v>56</v>
      </c>
      <c r="Z114" t="s">
        <v>57</v>
      </c>
      <c r="AA114" t="s">
        <v>147</v>
      </c>
      <c r="AB114">
        <v>0</v>
      </c>
      <c r="AC114">
        <v>0</v>
      </c>
      <c r="AD114">
        <v>4</v>
      </c>
      <c r="AE114">
        <v>3303.76</v>
      </c>
      <c r="AF114">
        <v>0</v>
      </c>
      <c r="AG114">
        <v>231.26</v>
      </c>
      <c r="AH114">
        <v>3.29</v>
      </c>
      <c r="AI114">
        <v>3538.31</v>
      </c>
      <c r="AJ114">
        <v>1501.52</v>
      </c>
      <c r="AK114">
        <v>2033.5</v>
      </c>
      <c r="AL114">
        <v>57.47</v>
      </c>
      <c r="AM114">
        <v>10029.299999999999</v>
      </c>
      <c r="AN114" t="b">
        <v>1</v>
      </c>
      <c r="AO114">
        <v>8</v>
      </c>
    </row>
    <row r="115" spans="1:41" x14ac:dyDescent="0.35">
      <c r="A115" t="s">
        <v>675</v>
      </c>
      <c r="B115" s="1">
        <v>44717</v>
      </c>
      <c r="C115" s="2">
        <v>0.48856481481481484</v>
      </c>
      <c r="D115" t="s">
        <v>41</v>
      </c>
      <c r="E115" t="s">
        <v>77</v>
      </c>
      <c r="F115" t="s">
        <v>676</v>
      </c>
      <c r="G115" t="s">
        <v>677</v>
      </c>
      <c r="H115">
        <v>43</v>
      </c>
      <c r="I115" t="s">
        <v>78</v>
      </c>
      <c r="J115" t="s">
        <v>44</v>
      </c>
      <c r="K115" t="s">
        <v>45</v>
      </c>
      <c r="L115" t="s">
        <v>678</v>
      </c>
      <c r="M115" t="s">
        <v>148</v>
      </c>
      <c r="N115" t="s">
        <v>47</v>
      </c>
      <c r="O115" t="s">
        <v>70</v>
      </c>
      <c r="P115">
        <v>26386</v>
      </c>
      <c r="Q115" t="s">
        <v>137</v>
      </c>
      <c r="R115" t="s">
        <v>50</v>
      </c>
      <c r="S115" t="s">
        <v>51</v>
      </c>
      <c r="T115" t="s">
        <v>71</v>
      </c>
      <c r="U115" t="s">
        <v>97</v>
      </c>
      <c r="V115" t="s">
        <v>54</v>
      </c>
      <c r="W115" t="s">
        <v>41</v>
      </c>
      <c r="X115" t="s">
        <v>172</v>
      </c>
      <c r="Y115" t="s">
        <v>99</v>
      </c>
      <c r="Z115" t="s">
        <v>57</v>
      </c>
      <c r="AA115" t="s">
        <v>159</v>
      </c>
      <c r="AB115">
        <v>0</v>
      </c>
      <c r="AC115">
        <v>0</v>
      </c>
      <c r="AD115">
        <v>4</v>
      </c>
      <c r="AE115">
        <v>370.76</v>
      </c>
      <c r="AF115">
        <v>0</v>
      </c>
      <c r="AG115">
        <v>25.95</v>
      </c>
      <c r="AH115">
        <v>0.26</v>
      </c>
      <c r="AI115">
        <v>396.97</v>
      </c>
      <c r="AJ115">
        <v>185.24</v>
      </c>
      <c r="AK115">
        <v>211.47</v>
      </c>
      <c r="AL115">
        <v>53.27</v>
      </c>
      <c r="AM115">
        <v>9011.0300000000007</v>
      </c>
      <c r="AN115" t="b">
        <v>1</v>
      </c>
      <c r="AO115">
        <v>7</v>
      </c>
    </row>
    <row r="116" spans="1:41" x14ac:dyDescent="0.35">
      <c r="A116" t="s">
        <v>679</v>
      </c>
      <c r="B116" s="1">
        <v>44654</v>
      </c>
      <c r="C116" s="2">
        <v>0.8756828703703704</v>
      </c>
      <c r="D116" t="s">
        <v>41</v>
      </c>
      <c r="E116" t="s">
        <v>42</v>
      </c>
      <c r="F116" t="s">
        <v>680</v>
      </c>
      <c r="G116" t="s">
        <v>681</v>
      </c>
      <c r="H116">
        <v>25</v>
      </c>
      <c r="I116" t="s">
        <v>78</v>
      </c>
      <c r="J116" t="s">
        <v>88</v>
      </c>
      <c r="K116" t="s">
        <v>45</v>
      </c>
      <c r="L116" t="s">
        <v>682</v>
      </c>
      <c r="M116" t="s">
        <v>130</v>
      </c>
      <c r="N116" t="s">
        <v>47</v>
      </c>
      <c r="O116" t="s">
        <v>70</v>
      </c>
      <c r="P116">
        <v>93970</v>
      </c>
      <c r="Q116" t="s">
        <v>49</v>
      </c>
      <c r="R116" t="s">
        <v>50</v>
      </c>
      <c r="S116" t="s">
        <v>51</v>
      </c>
      <c r="T116" t="s">
        <v>65</v>
      </c>
      <c r="U116" t="s">
        <v>72</v>
      </c>
      <c r="V116" t="s">
        <v>54</v>
      </c>
      <c r="W116" t="s">
        <v>41</v>
      </c>
      <c r="X116" t="s">
        <v>172</v>
      </c>
      <c r="Y116" t="s">
        <v>56</v>
      </c>
      <c r="Z116" t="s">
        <v>57</v>
      </c>
      <c r="AA116" t="s">
        <v>58</v>
      </c>
      <c r="AB116">
        <v>0</v>
      </c>
      <c r="AC116">
        <v>0</v>
      </c>
      <c r="AD116">
        <v>8</v>
      </c>
      <c r="AE116">
        <v>1270.5999999999999</v>
      </c>
      <c r="AF116">
        <v>0</v>
      </c>
      <c r="AG116">
        <v>88.94</v>
      </c>
      <c r="AH116">
        <v>29.91</v>
      </c>
      <c r="AI116">
        <v>1389.45</v>
      </c>
      <c r="AJ116">
        <v>748.96</v>
      </c>
      <c r="AK116">
        <v>610.58000000000004</v>
      </c>
      <c r="AL116">
        <v>43.94</v>
      </c>
      <c r="AM116">
        <v>8151.82</v>
      </c>
      <c r="AN116" t="b">
        <v>1</v>
      </c>
      <c r="AO116">
        <v>10</v>
      </c>
    </row>
    <row r="117" spans="1:41" x14ac:dyDescent="0.35">
      <c r="A117" t="s">
        <v>683</v>
      </c>
      <c r="B117" s="1">
        <v>44904</v>
      </c>
      <c r="C117" s="2">
        <v>0.91568287037037033</v>
      </c>
      <c r="D117" t="s">
        <v>41</v>
      </c>
      <c r="E117" t="s">
        <v>59</v>
      </c>
      <c r="F117" t="s">
        <v>684</v>
      </c>
      <c r="G117" t="s">
        <v>685</v>
      </c>
      <c r="H117">
        <v>30</v>
      </c>
      <c r="I117" t="s">
        <v>78</v>
      </c>
      <c r="J117" t="s">
        <v>88</v>
      </c>
      <c r="K117" t="s">
        <v>45</v>
      </c>
      <c r="L117" t="s">
        <v>686</v>
      </c>
      <c r="M117" t="s">
        <v>198</v>
      </c>
      <c r="N117" t="s">
        <v>47</v>
      </c>
      <c r="O117" t="s">
        <v>70</v>
      </c>
      <c r="P117">
        <v>85820</v>
      </c>
      <c r="Q117" t="s">
        <v>113</v>
      </c>
      <c r="R117" t="s">
        <v>50</v>
      </c>
      <c r="S117" t="s">
        <v>51</v>
      </c>
      <c r="T117" t="s">
        <v>52</v>
      </c>
      <c r="U117" t="s">
        <v>221</v>
      </c>
      <c r="V117" t="s">
        <v>54</v>
      </c>
      <c r="W117" t="s">
        <v>41</v>
      </c>
      <c r="X117" t="s">
        <v>98</v>
      </c>
      <c r="Y117" t="s">
        <v>93</v>
      </c>
      <c r="Z117" t="s">
        <v>94</v>
      </c>
      <c r="AA117" t="s">
        <v>246</v>
      </c>
      <c r="AB117">
        <v>0</v>
      </c>
      <c r="AC117">
        <v>0</v>
      </c>
      <c r="AD117">
        <v>3</v>
      </c>
      <c r="AE117">
        <v>328.12</v>
      </c>
      <c r="AF117">
        <v>0</v>
      </c>
      <c r="AG117">
        <v>22.97</v>
      </c>
      <c r="AH117">
        <v>9.73</v>
      </c>
      <c r="AI117">
        <v>360.82</v>
      </c>
      <c r="AJ117">
        <v>193.07</v>
      </c>
      <c r="AK117">
        <v>158.02000000000001</v>
      </c>
      <c r="AL117">
        <v>43.79</v>
      </c>
      <c r="AM117">
        <v>10804.11</v>
      </c>
      <c r="AN117" t="b">
        <v>1</v>
      </c>
      <c r="AO117">
        <v>13</v>
      </c>
    </row>
    <row r="118" spans="1:41" x14ac:dyDescent="0.35">
      <c r="A118" t="s">
        <v>687</v>
      </c>
      <c r="B118" s="1">
        <v>44747</v>
      </c>
      <c r="C118" s="2">
        <v>0.61115740740740743</v>
      </c>
      <c r="D118" t="s">
        <v>41</v>
      </c>
      <c r="E118" t="s">
        <v>111</v>
      </c>
      <c r="F118" t="s">
        <v>688</v>
      </c>
      <c r="G118" t="s">
        <v>689</v>
      </c>
      <c r="H118">
        <v>67</v>
      </c>
      <c r="I118" t="s">
        <v>78</v>
      </c>
      <c r="J118" t="s">
        <v>88</v>
      </c>
      <c r="K118" t="s">
        <v>45</v>
      </c>
      <c r="L118" t="s">
        <v>690</v>
      </c>
      <c r="M118" t="s">
        <v>198</v>
      </c>
      <c r="N118" t="s">
        <v>47</v>
      </c>
      <c r="O118" t="s">
        <v>70</v>
      </c>
      <c r="P118">
        <v>17898</v>
      </c>
      <c r="Q118" t="s">
        <v>113</v>
      </c>
      <c r="R118" t="s">
        <v>50</v>
      </c>
      <c r="S118" t="s">
        <v>51</v>
      </c>
      <c r="T118" t="s">
        <v>52</v>
      </c>
      <c r="U118" t="s">
        <v>155</v>
      </c>
      <c r="V118" t="s">
        <v>54</v>
      </c>
      <c r="W118" t="s">
        <v>41</v>
      </c>
      <c r="X118" t="s">
        <v>172</v>
      </c>
      <c r="Y118" t="s">
        <v>108</v>
      </c>
      <c r="Z118" t="s">
        <v>245</v>
      </c>
      <c r="AA118" t="s">
        <v>67</v>
      </c>
      <c r="AB118">
        <v>0</v>
      </c>
      <c r="AC118">
        <v>0</v>
      </c>
      <c r="AD118">
        <v>10</v>
      </c>
      <c r="AE118">
        <v>5115.46</v>
      </c>
      <c r="AF118">
        <v>0</v>
      </c>
      <c r="AG118">
        <v>358.08</v>
      </c>
      <c r="AH118">
        <v>20.64</v>
      </c>
      <c r="AI118">
        <v>5494.18</v>
      </c>
      <c r="AJ118">
        <v>2874.57</v>
      </c>
      <c r="AK118">
        <v>2598.9699999999998</v>
      </c>
      <c r="AL118">
        <v>47.3</v>
      </c>
      <c r="AM118">
        <v>9231.1</v>
      </c>
      <c r="AN118" t="b">
        <v>1</v>
      </c>
      <c r="AO118">
        <v>5</v>
      </c>
    </row>
    <row r="119" spans="1:41" x14ac:dyDescent="0.35">
      <c r="A119" t="s">
        <v>691</v>
      </c>
      <c r="B119" s="1">
        <v>45262</v>
      </c>
      <c r="C119" s="2">
        <v>7.5810185185185182E-3</v>
      </c>
      <c r="D119" t="s">
        <v>41</v>
      </c>
      <c r="E119" t="s">
        <v>77</v>
      </c>
      <c r="F119" t="s">
        <v>692</v>
      </c>
      <c r="G119" t="s">
        <v>693</v>
      </c>
      <c r="H119">
        <v>68</v>
      </c>
      <c r="I119" t="s">
        <v>173</v>
      </c>
      <c r="J119" t="s">
        <v>88</v>
      </c>
      <c r="K119" t="s">
        <v>45</v>
      </c>
      <c r="L119" t="s">
        <v>694</v>
      </c>
      <c r="M119" t="s">
        <v>105</v>
      </c>
      <c r="N119" t="s">
        <v>47</v>
      </c>
      <c r="O119" t="s">
        <v>106</v>
      </c>
      <c r="P119">
        <v>807</v>
      </c>
      <c r="Q119" t="s">
        <v>113</v>
      </c>
      <c r="R119" t="s">
        <v>50</v>
      </c>
      <c r="S119" t="s">
        <v>51</v>
      </c>
      <c r="T119" t="s">
        <v>52</v>
      </c>
      <c r="U119" t="s">
        <v>138</v>
      </c>
      <c r="V119" t="s">
        <v>54</v>
      </c>
      <c r="W119" t="s">
        <v>41</v>
      </c>
      <c r="X119" t="s">
        <v>98</v>
      </c>
      <c r="Y119" t="s">
        <v>56</v>
      </c>
      <c r="Z119" t="s">
        <v>57</v>
      </c>
      <c r="AA119" t="s">
        <v>416</v>
      </c>
      <c r="AB119">
        <v>0</v>
      </c>
      <c r="AC119">
        <v>0</v>
      </c>
      <c r="AD119">
        <v>8</v>
      </c>
      <c r="AE119">
        <v>725.77</v>
      </c>
      <c r="AF119">
        <v>0</v>
      </c>
      <c r="AG119">
        <v>50.81</v>
      </c>
      <c r="AH119">
        <v>24.47</v>
      </c>
      <c r="AI119">
        <v>801.05</v>
      </c>
      <c r="AJ119">
        <v>257.94</v>
      </c>
      <c r="AK119">
        <v>518.64</v>
      </c>
      <c r="AL119">
        <v>64.75</v>
      </c>
      <c r="AM119">
        <v>21443.45</v>
      </c>
      <c r="AN119" t="b">
        <v>1</v>
      </c>
      <c r="AO119">
        <v>20</v>
      </c>
    </row>
    <row r="120" spans="1:41" x14ac:dyDescent="0.35">
      <c r="A120" t="s">
        <v>695</v>
      </c>
      <c r="B120" s="1">
        <v>44231</v>
      </c>
      <c r="C120" s="2">
        <v>0.12670138888888888</v>
      </c>
      <c r="D120" t="s">
        <v>41</v>
      </c>
      <c r="E120" t="s">
        <v>77</v>
      </c>
      <c r="F120" t="s">
        <v>696</v>
      </c>
      <c r="G120" t="s">
        <v>697</v>
      </c>
      <c r="H120">
        <v>45</v>
      </c>
      <c r="I120" t="s">
        <v>43</v>
      </c>
      <c r="J120" t="s">
        <v>44</v>
      </c>
      <c r="K120" t="s">
        <v>45</v>
      </c>
      <c r="L120" t="s">
        <v>698</v>
      </c>
      <c r="M120" t="s">
        <v>358</v>
      </c>
      <c r="N120" t="s">
        <v>338</v>
      </c>
      <c r="O120" t="s">
        <v>118</v>
      </c>
      <c r="P120">
        <v>16687</v>
      </c>
      <c r="Q120" t="s">
        <v>113</v>
      </c>
      <c r="R120" t="s">
        <v>50</v>
      </c>
      <c r="S120" t="s">
        <v>339</v>
      </c>
      <c r="T120" t="s">
        <v>71</v>
      </c>
      <c r="U120" t="s">
        <v>145</v>
      </c>
      <c r="V120" t="s">
        <v>54</v>
      </c>
      <c r="W120" t="s">
        <v>41</v>
      </c>
      <c r="X120" t="s">
        <v>98</v>
      </c>
      <c r="Y120" t="s">
        <v>99</v>
      </c>
      <c r="Z120" t="s">
        <v>57</v>
      </c>
      <c r="AA120" t="s">
        <v>125</v>
      </c>
      <c r="AB120">
        <v>0</v>
      </c>
      <c r="AC120">
        <v>0</v>
      </c>
      <c r="AD120">
        <v>1</v>
      </c>
      <c r="AE120">
        <v>351.08</v>
      </c>
      <c r="AF120">
        <v>0</v>
      </c>
      <c r="AG120">
        <v>63.19</v>
      </c>
      <c r="AH120">
        <v>0</v>
      </c>
      <c r="AI120">
        <v>414.27</v>
      </c>
      <c r="AJ120">
        <v>187.15</v>
      </c>
      <c r="AK120">
        <v>227.12</v>
      </c>
      <c r="AL120">
        <v>54.82</v>
      </c>
      <c r="AM120">
        <v>17616.93</v>
      </c>
      <c r="AN120" t="b">
        <v>1</v>
      </c>
      <c r="AO120">
        <v>8</v>
      </c>
    </row>
    <row r="121" spans="1:41" x14ac:dyDescent="0.35">
      <c r="A121" t="s">
        <v>699</v>
      </c>
      <c r="B121" s="1">
        <v>45870</v>
      </c>
      <c r="C121" s="2">
        <v>0.87164351851851851</v>
      </c>
      <c r="D121" t="s">
        <v>41</v>
      </c>
      <c r="E121" t="s">
        <v>111</v>
      </c>
      <c r="F121" t="s">
        <v>700</v>
      </c>
      <c r="G121" t="s">
        <v>701</v>
      </c>
      <c r="H121">
        <v>49</v>
      </c>
      <c r="I121" t="s">
        <v>43</v>
      </c>
      <c r="J121" t="s">
        <v>60</v>
      </c>
      <c r="K121" t="s">
        <v>45</v>
      </c>
      <c r="L121" t="s">
        <v>702</v>
      </c>
      <c r="M121" t="s">
        <v>105</v>
      </c>
      <c r="N121" t="s">
        <v>47</v>
      </c>
      <c r="O121" t="s">
        <v>106</v>
      </c>
      <c r="P121">
        <v>42105</v>
      </c>
      <c r="Q121" t="s">
        <v>96</v>
      </c>
      <c r="R121" t="s">
        <v>50</v>
      </c>
      <c r="S121" t="s">
        <v>51</v>
      </c>
      <c r="T121" t="s">
        <v>52</v>
      </c>
      <c r="U121" t="s">
        <v>53</v>
      </c>
      <c r="V121" t="s">
        <v>54</v>
      </c>
      <c r="W121" t="s">
        <v>41</v>
      </c>
      <c r="X121" t="s">
        <v>98</v>
      </c>
      <c r="Y121" t="s">
        <v>131</v>
      </c>
      <c r="Z121" t="s">
        <v>132</v>
      </c>
      <c r="AA121" t="s">
        <v>100</v>
      </c>
      <c r="AB121">
        <v>0</v>
      </c>
      <c r="AC121">
        <v>0</v>
      </c>
      <c r="AD121">
        <v>6</v>
      </c>
      <c r="AE121">
        <v>1723.04</v>
      </c>
      <c r="AF121">
        <v>0</v>
      </c>
      <c r="AG121">
        <v>120.61</v>
      </c>
      <c r="AH121">
        <v>35.21</v>
      </c>
      <c r="AI121">
        <v>1878.86</v>
      </c>
      <c r="AJ121">
        <v>929.77</v>
      </c>
      <c r="AK121">
        <v>913.88</v>
      </c>
      <c r="AL121">
        <v>48.64</v>
      </c>
      <c r="AM121">
        <v>17966.61</v>
      </c>
      <c r="AN121" t="b">
        <v>1</v>
      </c>
      <c r="AO121">
        <v>8</v>
      </c>
    </row>
    <row r="122" spans="1:41" x14ac:dyDescent="0.35">
      <c r="A122" t="s">
        <v>703</v>
      </c>
      <c r="B122" s="1">
        <v>45658</v>
      </c>
      <c r="C122" s="2">
        <v>0.31731481481481483</v>
      </c>
      <c r="D122" t="s">
        <v>41</v>
      </c>
      <c r="E122" t="s">
        <v>42</v>
      </c>
      <c r="F122" t="s">
        <v>704</v>
      </c>
      <c r="G122" t="s">
        <v>705</v>
      </c>
      <c r="H122">
        <v>51</v>
      </c>
      <c r="I122" t="s">
        <v>78</v>
      </c>
      <c r="J122" t="s">
        <v>88</v>
      </c>
      <c r="K122" t="s">
        <v>45</v>
      </c>
      <c r="L122" t="s">
        <v>706</v>
      </c>
      <c r="M122" t="s">
        <v>193</v>
      </c>
      <c r="N122" t="s">
        <v>47</v>
      </c>
      <c r="O122" t="s">
        <v>106</v>
      </c>
      <c r="P122">
        <v>35299</v>
      </c>
      <c r="Q122" t="s">
        <v>107</v>
      </c>
      <c r="R122" t="s">
        <v>50</v>
      </c>
      <c r="S122" t="s">
        <v>51</v>
      </c>
      <c r="T122" t="s">
        <v>65</v>
      </c>
      <c r="U122" t="s">
        <v>155</v>
      </c>
      <c r="V122" t="s">
        <v>54</v>
      </c>
      <c r="W122" t="s">
        <v>41</v>
      </c>
      <c r="X122" t="s">
        <v>261</v>
      </c>
      <c r="Y122" t="s">
        <v>85</v>
      </c>
      <c r="Z122" t="s">
        <v>146</v>
      </c>
      <c r="AA122" t="s">
        <v>238</v>
      </c>
      <c r="AB122">
        <v>0</v>
      </c>
      <c r="AC122">
        <v>0</v>
      </c>
      <c r="AD122">
        <v>14</v>
      </c>
      <c r="AE122">
        <v>3172.18</v>
      </c>
      <c r="AF122">
        <v>0</v>
      </c>
      <c r="AG122">
        <v>222.05</v>
      </c>
      <c r="AH122">
        <v>47.43</v>
      </c>
      <c r="AI122">
        <v>3441.66</v>
      </c>
      <c r="AJ122">
        <v>1646.89</v>
      </c>
      <c r="AK122">
        <v>1747.34</v>
      </c>
      <c r="AL122">
        <v>50.77</v>
      </c>
      <c r="AM122">
        <v>11724.59</v>
      </c>
      <c r="AN122" t="b">
        <v>1</v>
      </c>
      <c r="AO122">
        <v>11</v>
      </c>
    </row>
    <row r="123" spans="1:41" x14ac:dyDescent="0.35">
      <c r="A123" t="s">
        <v>707</v>
      </c>
      <c r="B123" s="1">
        <v>45475</v>
      </c>
      <c r="C123" s="2">
        <v>9.0995370370370365E-2</v>
      </c>
      <c r="D123" t="s">
        <v>41</v>
      </c>
      <c r="E123" t="s">
        <v>77</v>
      </c>
      <c r="F123" t="s">
        <v>708</v>
      </c>
      <c r="G123" t="s">
        <v>709</v>
      </c>
      <c r="H123">
        <v>59</v>
      </c>
      <c r="I123" t="s">
        <v>43</v>
      </c>
      <c r="J123" t="s">
        <v>68</v>
      </c>
      <c r="K123" t="s">
        <v>45</v>
      </c>
      <c r="L123" t="s">
        <v>710</v>
      </c>
      <c r="M123" t="s">
        <v>122</v>
      </c>
      <c r="N123" t="s">
        <v>123</v>
      </c>
      <c r="O123" t="s">
        <v>80</v>
      </c>
      <c r="P123">
        <v>14287</v>
      </c>
      <c r="Q123" t="s">
        <v>96</v>
      </c>
      <c r="R123" t="s">
        <v>50</v>
      </c>
      <c r="S123" t="s">
        <v>124</v>
      </c>
      <c r="T123" t="s">
        <v>52</v>
      </c>
      <c r="U123" t="s">
        <v>83</v>
      </c>
      <c r="V123" t="s">
        <v>54</v>
      </c>
      <c r="W123" t="s">
        <v>41</v>
      </c>
      <c r="X123" t="s">
        <v>84</v>
      </c>
      <c r="Y123" t="s">
        <v>56</v>
      </c>
      <c r="Z123" t="s">
        <v>57</v>
      </c>
      <c r="AA123" t="s">
        <v>203</v>
      </c>
      <c r="AB123">
        <v>0</v>
      </c>
      <c r="AC123">
        <v>0</v>
      </c>
      <c r="AD123">
        <v>11</v>
      </c>
      <c r="AE123">
        <v>4295.45</v>
      </c>
      <c r="AF123">
        <v>0</v>
      </c>
      <c r="AG123">
        <v>859.09</v>
      </c>
      <c r="AH123">
        <v>23.41</v>
      </c>
      <c r="AI123">
        <v>5177.95</v>
      </c>
      <c r="AJ123">
        <v>1941.9</v>
      </c>
      <c r="AK123">
        <v>3212.64</v>
      </c>
      <c r="AL123">
        <v>62.04</v>
      </c>
      <c r="AM123">
        <v>22376.06</v>
      </c>
      <c r="AN123" t="b">
        <v>1</v>
      </c>
      <c r="AO123">
        <v>8</v>
      </c>
    </row>
    <row r="124" spans="1:41" x14ac:dyDescent="0.35">
      <c r="A124" t="s">
        <v>711</v>
      </c>
      <c r="B124" s="1">
        <v>44199</v>
      </c>
      <c r="C124" s="2">
        <v>0.88195601851851857</v>
      </c>
      <c r="D124" t="s">
        <v>41</v>
      </c>
      <c r="E124" t="s">
        <v>77</v>
      </c>
      <c r="F124" t="s">
        <v>712</v>
      </c>
      <c r="G124" t="s">
        <v>713</v>
      </c>
      <c r="H124">
        <v>61</v>
      </c>
      <c r="I124" t="s">
        <v>43</v>
      </c>
      <c r="J124" t="s">
        <v>68</v>
      </c>
      <c r="K124" t="s">
        <v>45</v>
      </c>
      <c r="L124" t="s">
        <v>714</v>
      </c>
      <c r="M124" t="s">
        <v>130</v>
      </c>
      <c r="N124" t="s">
        <v>47</v>
      </c>
      <c r="O124" t="s">
        <v>70</v>
      </c>
      <c r="P124">
        <v>61598</v>
      </c>
      <c r="Q124" t="s">
        <v>113</v>
      </c>
      <c r="R124" t="s">
        <v>50</v>
      </c>
      <c r="S124" t="s">
        <v>51</v>
      </c>
      <c r="T124" t="s">
        <v>65</v>
      </c>
      <c r="U124" t="s">
        <v>145</v>
      </c>
      <c r="V124" t="s">
        <v>54</v>
      </c>
      <c r="W124" t="s">
        <v>41</v>
      </c>
      <c r="X124" t="s">
        <v>98</v>
      </c>
      <c r="Y124" t="s">
        <v>108</v>
      </c>
      <c r="Z124" t="s">
        <v>109</v>
      </c>
      <c r="AA124" t="s">
        <v>274</v>
      </c>
      <c r="AB124">
        <v>0</v>
      </c>
      <c r="AC124">
        <v>0</v>
      </c>
      <c r="AD124">
        <v>3</v>
      </c>
      <c r="AE124">
        <v>574.99</v>
      </c>
      <c r="AF124">
        <v>0</v>
      </c>
      <c r="AG124">
        <v>40.25</v>
      </c>
      <c r="AH124">
        <v>14.79</v>
      </c>
      <c r="AI124">
        <v>630.03</v>
      </c>
      <c r="AJ124">
        <v>224.72</v>
      </c>
      <c r="AK124">
        <v>390.52</v>
      </c>
      <c r="AL124">
        <v>61.98</v>
      </c>
      <c r="AM124">
        <v>7954.96</v>
      </c>
      <c r="AN124" t="b">
        <v>1</v>
      </c>
      <c r="AO124">
        <v>6</v>
      </c>
    </row>
    <row r="125" spans="1:41" x14ac:dyDescent="0.35">
      <c r="A125" t="s">
        <v>715</v>
      </c>
      <c r="B125" s="1">
        <v>45447</v>
      </c>
      <c r="C125" s="2">
        <v>0.53311342592592592</v>
      </c>
      <c r="D125" t="s">
        <v>41</v>
      </c>
      <c r="E125" t="s">
        <v>111</v>
      </c>
      <c r="F125" t="s">
        <v>716</v>
      </c>
      <c r="G125" t="s">
        <v>717</v>
      </c>
      <c r="H125">
        <v>36</v>
      </c>
      <c r="I125" t="s">
        <v>78</v>
      </c>
      <c r="J125" t="s">
        <v>68</v>
      </c>
      <c r="K125" t="s">
        <v>45</v>
      </c>
      <c r="L125" t="s">
        <v>718</v>
      </c>
      <c r="M125" t="s">
        <v>122</v>
      </c>
      <c r="N125" t="s">
        <v>123</v>
      </c>
      <c r="O125" t="s">
        <v>80</v>
      </c>
      <c r="P125">
        <v>35512</v>
      </c>
      <c r="Q125" t="s">
        <v>81</v>
      </c>
      <c r="R125" t="s">
        <v>50</v>
      </c>
      <c r="S125" t="s">
        <v>124</v>
      </c>
      <c r="T125" t="s">
        <v>52</v>
      </c>
      <c r="U125" t="s">
        <v>191</v>
      </c>
      <c r="V125" t="s">
        <v>54</v>
      </c>
      <c r="W125" t="s">
        <v>41</v>
      </c>
      <c r="X125" t="s">
        <v>84</v>
      </c>
      <c r="Y125" t="s">
        <v>99</v>
      </c>
      <c r="Z125" t="s">
        <v>57</v>
      </c>
      <c r="AA125" t="s">
        <v>326</v>
      </c>
      <c r="AB125">
        <v>0</v>
      </c>
      <c r="AC125">
        <v>0</v>
      </c>
      <c r="AD125">
        <v>13</v>
      </c>
      <c r="AE125">
        <v>1968.05</v>
      </c>
      <c r="AF125">
        <v>0</v>
      </c>
      <c r="AG125">
        <v>393.6</v>
      </c>
      <c r="AH125">
        <v>31.59</v>
      </c>
      <c r="AI125">
        <v>2393.2399999999998</v>
      </c>
      <c r="AJ125">
        <v>1016.27</v>
      </c>
      <c r="AK125">
        <v>1345.38</v>
      </c>
      <c r="AL125">
        <v>56.22</v>
      </c>
      <c r="AM125">
        <v>6532.01</v>
      </c>
      <c r="AN125" t="b">
        <v>1</v>
      </c>
      <c r="AO125">
        <v>5</v>
      </c>
    </row>
    <row r="126" spans="1:41" x14ac:dyDescent="0.35">
      <c r="A126" t="s">
        <v>720</v>
      </c>
      <c r="B126" s="1">
        <v>45937</v>
      </c>
      <c r="C126" s="2">
        <v>0.80686342592592597</v>
      </c>
      <c r="D126" t="s">
        <v>41</v>
      </c>
      <c r="E126" t="s">
        <v>42</v>
      </c>
      <c r="F126" t="s">
        <v>721</v>
      </c>
      <c r="G126" t="s">
        <v>722</v>
      </c>
      <c r="H126">
        <v>37</v>
      </c>
      <c r="I126" t="s">
        <v>43</v>
      </c>
      <c r="J126" t="s">
        <v>88</v>
      </c>
      <c r="K126" t="s">
        <v>45</v>
      </c>
      <c r="L126" t="s">
        <v>723</v>
      </c>
      <c r="M126" t="s">
        <v>293</v>
      </c>
      <c r="N126" t="s">
        <v>123</v>
      </c>
      <c r="O126" t="s">
        <v>118</v>
      </c>
      <c r="P126">
        <v>85102</v>
      </c>
      <c r="Q126" t="s">
        <v>107</v>
      </c>
      <c r="R126" t="s">
        <v>50</v>
      </c>
      <c r="S126" t="s">
        <v>124</v>
      </c>
      <c r="T126" t="s">
        <v>71</v>
      </c>
      <c r="U126" t="s">
        <v>221</v>
      </c>
      <c r="V126" t="s">
        <v>54</v>
      </c>
      <c r="W126" t="s">
        <v>41</v>
      </c>
      <c r="X126" t="s">
        <v>261</v>
      </c>
      <c r="Y126" t="s">
        <v>212</v>
      </c>
      <c r="Z126" t="s">
        <v>213</v>
      </c>
      <c r="AA126" t="s">
        <v>67</v>
      </c>
      <c r="AB126">
        <v>0</v>
      </c>
      <c r="AC126">
        <v>0</v>
      </c>
      <c r="AD126">
        <v>8</v>
      </c>
      <c r="AE126">
        <v>1751.56</v>
      </c>
      <c r="AF126">
        <v>0</v>
      </c>
      <c r="AG126">
        <v>350.31</v>
      </c>
      <c r="AH126">
        <v>19.899999999999999</v>
      </c>
      <c r="AI126">
        <v>2121.77</v>
      </c>
      <c r="AJ126">
        <v>868.52</v>
      </c>
      <c r="AK126">
        <v>1233.3499999999999</v>
      </c>
      <c r="AL126">
        <v>58.13</v>
      </c>
      <c r="AM126">
        <v>18509.990000000002</v>
      </c>
      <c r="AN126" t="b">
        <v>1</v>
      </c>
      <c r="AO126">
        <v>8</v>
      </c>
    </row>
    <row r="127" spans="1:41" x14ac:dyDescent="0.35">
      <c r="A127" t="s">
        <v>724</v>
      </c>
      <c r="B127" s="1">
        <v>45241</v>
      </c>
      <c r="C127" s="2">
        <v>4.0162037037037041E-3</v>
      </c>
      <c r="D127" t="s">
        <v>41</v>
      </c>
      <c r="E127" t="s">
        <v>77</v>
      </c>
      <c r="F127" t="s">
        <v>725</v>
      </c>
      <c r="G127" t="s">
        <v>726</v>
      </c>
      <c r="H127">
        <v>41</v>
      </c>
      <c r="I127" t="s">
        <v>78</v>
      </c>
      <c r="J127" t="s">
        <v>44</v>
      </c>
      <c r="K127" t="s">
        <v>45</v>
      </c>
      <c r="L127" t="s">
        <v>727</v>
      </c>
      <c r="M127" t="s">
        <v>130</v>
      </c>
      <c r="N127" t="s">
        <v>47</v>
      </c>
      <c r="O127" t="s">
        <v>70</v>
      </c>
      <c r="P127">
        <v>3118</v>
      </c>
      <c r="Q127" t="s">
        <v>49</v>
      </c>
      <c r="R127" t="s">
        <v>50</v>
      </c>
      <c r="S127" t="s">
        <v>51</v>
      </c>
      <c r="T127" t="s">
        <v>71</v>
      </c>
      <c r="U127" t="s">
        <v>243</v>
      </c>
      <c r="V127" t="s">
        <v>54</v>
      </c>
      <c r="W127" t="s">
        <v>41</v>
      </c>
      <c r="X127" t="s">
        <v>84</v>
      </c>
      <c r="Y127" t="s">
        <v>56</v>
      </c>
      <c r="Z127" t="s">
        <v>57</v>
      </c>
      <c r="AA127" t="s">
        <v>100</v>
      </c>
      <c r="AB127">
        <v>0</v>
      </c>
      <c r="AC127">
        <v>0</v>
      </c>
      <c r="AD127">
        <v>8</v>
      </c>
      <c r="AE127">
        <v>2352.48</v>
      </c>
      <c r="AF127">
        <v>0</v>
      </c>
      <c r="AG127">
        <v>164.67</v>
      </c>
      <c r="AH127">
        <v>37.49</v>
      </c>
      <c r="AI127">
        <v>2554.64</v>
      </c>
      <c r="AJ127">
        <v>1547.26</v>
      </c>
      <c r="AK127">
        <v>969.89</v>
      </c>
      <c r="AL127">
        <v>37.97</v>
      </c>
      <c r="AM127">
        <v>7462.74</v>
      </c>
      <c r="AN127" t="b">
        <v>1</v>
      </c>
      <c r="AO127">
        <v>5</v>
      </c>
    </row>
    <row r="128" spans="1:41" x14ac:dyDescent="0.35">
      <c r="A128" t="s">
        <v>728</v>
      </c>
      <c r="B128" s="1">
        <v>45699</v>
      </c>
      <c r="C128" s="2">
        <v>0.27782407407407406</v>
      </c>
      <c r="D128" t="s">
        <v>41</v>
      </c>
      <c r="E128" t="s">
        <v>77</v>
      </c>
      <c r="F128" t="s">
        <v>729</v>
      </c>
      <c r="G128" t="s">
        <v>730</v>
      </c>
      <c r="H128">
        <v>64</v>
      </c>
      <c r="I128" t="s">
        <v>43</v>
      </c>
      <c r="J128" t="s">
        <v>60</v>
      </c>
      <c r="K128" t="s">
        <v>45</v>
      </c>
      <c r="L128" t="s">
        <v>731</v>
      </c>
      <c r="M128" t="s">
        <v>69</v>
      </c>
      <c r="N128" t="s">
        <v>62</v>
      </c>
      <c r="O128" t="s">
        <v>70</v>
      </c>
      <c r="P128">
        <v>55214</v>
      </c>
      <c r="Q128" t="s">
        <v>113</v>
      </c>
      <c r="R128" t="s">
        <v>50</v>
      </c>
      <c r="S128" t="s">
        <v>64</v>
      </c>
      <c r="T128" t="s">
        <v>52</v>
      </c>
      <c r="U128" t="s">
        <v>53</v>
      </c>
      <c r="V128" t="s">
        <v>54</v>
      </c>
      <c r="W128" t="s">
        <v>41</v>
      </c>
      <c r="X128" t="s">
        <v>98</v>
      </c>
      <c r="Y128" t="s">
        <v>131</v>
      </c>
      <c r="Z128" t="s">
        <v>227</v>
      </c>
      <c r="AA128" t="s">
        <v>87</v>
      </c>
      <c r="AB128">
        <v>0</v>
      </c>
      <c r="AC128">
        <v>0</v>
      </c>
      <c r="AD128">
        <v>3</v>
      </c>
      <c r="AE128">
        <v>85.37</v>
      </c>
      <c r="AF128">
        <v>0</v>
      </c>
      <c r="AG128">
        <v>16.22</v>
      </c>
      <c r="AH128">
        <v>9.76</v>
      </c>
      <c r="AI128">
        <v>111.35</v>
      </c>
      <c r="AJ128">
        <v>40.15</v>
      </c>
      <c r="AK128">
        <v>61.44</v>
      </c>
      <c r="AL128">
        <v>55.18</v>
      </c>
      <c r="AM128">
        <v>14619.68</v>
      </c>
      <c r="AN128" t="b">
        <v>1</v>
      </c>
      <c r="AO128">
        <v>12</v>
      </c>
    </row>
    <row r="129" spans="1:41" x14ac:dyDescent="0.35">
      <c r="A129" t="s">
        <v>732</v>
      </c>
      <c r="B129" s="1">
        <v>44508</v>
      </c>
      <c r="C129" s="2">
        <v>0.93718749999999995</v>
      </c>
      <c r="D129" t="s">
        <v>41</v>
      </c>
      <c r="E129" t="s">
        <v>59</v>
      </c>
      <c r="F129" t="s">
        <v>733</v>
      </c>
      <c r="G129" t="s">
        <v>734</v>
      </c>
      <c r="H129">
        <v>24</v>
      </c>
      <c r="I129" t="s">
        <v>43</v>
      </c>
      <c r="J129" t="s">
        <v>68</v>
      </c>
      <c r="K129" t="s">
        <v>45</v>
      </c>
      <c r="L129" t="s">
        <v>735</v>
      </c>
      <c r="M129" t="s">
        <v>142</v>
      </c>
      <c r="N129" t="s">
        <v>47</v>
      </c>
      <c r="O129" t="s">
        <v>70</v>
      </c>
      <c r="P129">
        <v>27182</v>
      </c>
      <c r="Q129" t="s">
        <v>63</v>
      </c>
      <c r="R129" t="s">
        <v>50</v>
      </c>
      <c r="S129" t="s">
        <v>51</v>
      </c>
      <c r="T129" t="s">
        <v>52</v>
      </c>
      <c r="U129" t="s">
        <v>83</v>
      </c>
      <c r="V129" t="s">
        <v>54</v>
      </c>
      <c r="W129" t="s">
        <v>41</v>
      </c>
      <c r="X129" t="s">
        <v>55</v>
      </c>
      <c r="Y129" t="s">
        <v>56</v>
      </c>
      <c r="Z129" t="s">
        <v>57</v>
      </c>
      <c r="AA129" t="s">
        <v>416</v>
      </c>
      <c r="AB129">
        <v>0</v>
      </c>
      <c r="AC129">
        <v>0</v>
      </c>
      <c r="AD129">
        <v>2</v>
      </c>
      <c r="AE129">
        <v>617.46</v>
      </c>
      <c r="AF129">
        <v>0</v>
      </c>
      <c r="AG129">
        <v>43.22</v>
      </c>
      <c r="AH129">
        <v>3.37</v>
      </c>
      <c r="AI129">
        <v>664.05</v>
      </c>
      <c r="AJ129">
        <v>266.52</v>
      </c>
      <c r="AK129">
        <v>394.16</v>
      </c>
      <c r="AL129">
        <v>59.36</v>
      </c>
      <c r="AM129">
        <v>7502.49</v>
      </c>
      <c r="AN129" t="b">
        <v>1</v>
      </c>
      <c r="AO129">
        <v>7</v>
      </c>
    </row>
    <row r="130" spans="1:41" x14ac:dyDescent="0.35">
      <c r="A130" t="s">
        <v>736</v>
      </c>
      <c r="B130" s="1">
        <v>44779</v>
      </c>
      <c r="C130" s="2">
        <v>0.52181712962962967</v>
      </c>
      <c r="D130" t="s">
        <v>41</v>
      </c>
      <c r="E130" t="s">
        <v>42</v>
      </c>
      <c r="F130" t="s">
        <v>737</v>
      </c>
      <c r="G130" t="s">
        <v>738</v>
      </c>
      <c r="H130">
        <v>46</v>
      </c>
      <c r="I130" t="s">
        <v>43</v>
      </c>
      <c r="J130" t="s">
        <v>60</v>
      </c>
      <c r="K130" t="s">
        <v>45</v>
      </c>
      <c r="L130" t="s">
        <v>739</v>
      </c>
      <c r="M130" t="s">
        <v>198</v>
      </c>
      <c r="N130" t="s">
        <v>47</v>
      </c>
      <c r="O130" t="s">
        <v>70</v>
      </c>
      <c r="P130">
        <v>34704</v>
      </c>
      <c r="Q130" t="s">
        <v>113</v>
      </c>
      <c r="R130" t="s">
        <v>50</v>
      </c>
      <c r="S130" t="s">
        <v>51</v>
      </c>
      <c r="T130" t="s">
        <v>52</v>
      </c>
      <c r="U130" t="s">
        <v>145</v>
      </c>
      <c r="V130" t="s">
        <v>54</v>
      </c>
      <c r="W130" t="s">
        <v>41</v>
      </c>
      <c r="X130" t="s">
        <v>261</v>
      </c>
      <c r="Y130" t="s">
        <v>99</v>
      </c>
      <c r="Z130" t="s">
        <v>57</v>
      </c>
      <c r="AA130" t="s">
        <v>147</v>
      </c>
      <c r="AB130">
        <v>0</v>
      </c>
      <c r="AC130">
        <v>0</v>
      </c>
      <c r="AD130">
        <v>7</v>
      </c>
      <c r="AE130">
        <v>1879.14</v>
      </c>
      <c r="AF130">
        <v>0</v>
      </c>
      <c r="AG130">
        <v>131.54</v>
      </c>
      <c r="AH130">
        <v>18.079999999999998</v>
      </c>
      <c r="AI130">
        <v>2028.76</v>
      </c>
      <c r="AJ130">
        <v>1068.6600000000001</v>
      </c>
      <c r="AK130">
        <v>942.02</v>
      </c>
      <c r="AL130">
        <v>46.43</v>
      </c>
      <c r="AM130">
        <v>6645.33</v>
      </c>
      <c r="AN130" t="b">
        <v>1</v>
      </c>
      <c r="AO130">
        <v>4</v>
      </c>
    </row>
    <row r="131" spans="1:41" x14ac:dyDescent="0.35">
      <c r="A131" t="s">
        <v>740</v>
      </c>
      <c r="B131" s="1">
        <v>44326</v>
      </c>
      <c r="C131" s="2">
        <v>0.34196759259259257</v>
      </c>
      <c r="D131" t="s">
        <v>41</v>
      </c>
      <c r="E131" t="s">
        <v>42</v>
      </c>
      <c r="F131" t="s">
        <v>741</v>
      </c>
      <c r="G131" t="s">
        <v>742</v>
      </c>
      <c r="H131">
        <v>34</v>
      </c>
      <c r="I131" t="s">
        <v>43</v>
      </c>
      <c r="J131" t="s">
        <v>60</v>
      </c>
      <c r="K131" t="s">
        <v>45</v>
      </c>
      <c r="L131" t="s">
        <v>743</v>
      </c>
      <c r="M131" t="s">
        <v>358</v>
      </c>
      <c r="N131" t="s">
        <v>338</v>
      </c>
      <c r="O131" t="s">
        <v>118</v>
      </c>
      <c r="P131">
        <v>60991</v>
      </c>
      <c r="Q131" t="s">
        <v>107</v>
      </c>
      <c r="R131" t="s">
        <v>50</v>
      </c>
      <c r="S131" t="s">
        <v>339</v>
      </c>
      <c r="T131" t="s">
        <v>52</v>
      </c>
      <c r="U131" t="s">
        <v>155</v>
      </c>
      <c r="V131" t="s">
        <v>54</v>
      </c>
      <c r="W131" t="s">
        <v>41</v>
      </c>
      <c r="X131" t="s">
        <v>84</v>
      </c>
      <c r="Y131" t="s">
        <v>255</v>
      </c>
      <c r="Z131" t="s">
        <v>57</v>
      </c>
      <c r="AA131" t="s">
        <v>238</v>
      </c>
      <c r="AB131">
        <v>0</v>
      </c>
      <c r="AC131">
        <v>0</v>
      </c>
      <c r="AD131">
        <v>1</v>
      </c>
      <c r="AE131">
        <v>49.36</v>
      </c>
      <c r="AF131">
        <v>0</v>
      </c>
      <c r="AG131">
        <v>8.8800000000000008</v>
      </c>
      <c r="AH131">
        <v>3.9</v>
      </c>
      <c r="AI131">
        <v>62.14</v>
      </c>
      <c r="AJ131">
        <v>28.41</v>
      </c>
      <c r="AK131">
        <v>29.83</v>
      </c>
      <c r="AL131">
        <v>48</v>
      </c>
      <c r="AM131">
        <v>5956.54</v>
      </c>
      <c r="AN131" t="b">
        <v>1</v>
      </c>
      <c r="AO131">
        <v>7</v>
      </c>
    </row>
    <row r="132" spans="1:41" x14ac:dyDescent="0.35">
      <c r="A132" t="s">
        <v>744</v>
      </c>
      <c r="B132" s="1">
        <v>45629</v>
      </c>
      <c r="C132" s="2">
        <v>0.12946759259259261</v>
      </c>
      <c r="D132" t="s">
        <v>41</v>
      </c>
      <c r="E132" t="s">
        <v>77</v>
      </c>
      <c r="F132" t="s">
        <v>745</v>
      </c>
      <c r="G132" t="s">
        <v>746</v>
      </c>
      <c r="H132">
        <v>34</v>
      </c>
      <c r="I132" t="s">
        <v>43</v>
      </c>
      <c r="J132" t="s">
        <v>68</v>
      </c>
      <c r="K132" t="s">
        <v>152</v>
      </c>
      <c r="L132" t="s">
        <v>747</v>
      </c>
      <c r="M132" t="s">
        <v>445</v>
      </c>
      <c r="N132" t="s">
        <v>338</v>
      </c>
      <c r="O132" t="s">
        <v>70</v>
      </c>
      <c r="P132">
        <v>80090</v>
      </c>
      <c r="Q132" t="s">
        <v>49</v>
      </c>
      <c r="R132" t="s">
        <v>50</v>
      </c>
      <c r="S132" t="s">
        <v>339</v>
      </c>
      <c r="T132" t="s">
        <v>71</v>
      </c>
      <c r="U132" t="s">
        <v>163</v>
      </c>
      <c r="V132" t="s">
        <v>54</v>
      </c>
      <c r="W132" t="s">
        <v>41</v>
      </c>
      <c r="X132" t="s">
        <v>73</v>
      </c>
      <c r="Y132" t="s">
        <v>85</v>
      </c>
      <c r="Z132" t="s">
        <v>86</v>
      </c>
      <c r="AA132" t="s">
        <v>159</v>
      </c>
      <c r="AB132">
        <v>0</v>
      </c>
      <c r="AC132">
        <v>0</v>
      </c>
      <c r="AD132">
        <v>15</v>
      </c>
      <c r="AE132">
        <v>4281.09</v>
      </c>
      <c r="AF132">
        <v>0</v>
      </c>
      <c r="AG132">
        <v>770.6</v>
      </c>
      <c r="AH132">
        <v>21.04</v>
      </c>
      <c r="AI132">
        <v>5072.7299999999996</v>
      </c>
      <c r="AJ132">
        <v>2631.34</v>
      </c>
      <c r="AK132">
        <v>2420.35</v>
      </c>
      <c r="AL132">
        <v>47.71</v>
      </c>
      <c r="AM132">
        <v>9350.3700000000008</v>
      </c>
      <c r="AN132" t="b">
        <v>1</v>
      </c>
      <c r="AO132">
        <v>3</v>
      </c>
    </row>
    <row r="133" spans="1:41" x14ac:dyDescent="0.35">
      <c r="A133" t="s">
        <v>748</v>
      </c>
      <c r="B133" s="1">
        <v>45784</v>
      </c>
      <c r="C133" s="2">
        <v>0.1162962962962963</v>
      </c>
      <c r="D133" t="s">
        <v>41</v>
      </c>
      <c r="E133" t="s">
        <v>42</v>
      </c>
      <c r="F133" t="s">
        <v>749</v>
      </c>
      <c r="G133" t="s">
        <v>750</v>
      </c>
      <c r="H133">
        <v>29</v>
      </c>
      <c r="I133" t="s">
        <v>78</v>
      </c>
      <c r="J133" t="s">
        <v>68</v>
      </c>
      <c r="K133" t="s">
        <v>152</v>
      </c>
      <c r="L133" t="s">
        <v>751</v>
      </c>
      <c r="M133" t="s">
        <v>148</v>
      </c>
      <c r="N133" t="s">
        <v>47</v>
      </c>
      <c r="O133" t="s">
        <v>70</v>
      </c>
      <c r="P133">
        <v>21820</v>
      </c>
      <c r="Q133" t="s">
        <v>113</v>
      </c>
      <c r="R133" t="s">
        <v>50</v>
      </c>
      <c r="S133" t="s">
        <v>51</v>
      </c>
      <c r="T133" t="s">
        <v>71</v>
      </c>
      <c r="U133" t="s">
        <v>66</v>
      </c>
      <c r="V133" t="s">
        <v>54</v>
      </c>
      <c r="W133" t="s">
        <v>41</v>
      </c>
      <c r="X133" t="s">
        <v>98</v>
      </c>
      <c r="Y133" t="s">
        <v>93</v>
      </c>
      <c r="Z133" t="s">
        <v>359</v>
      </c>
      <c r="AA133" t="s">
        <v>203</v>
      </c>
      <c r="AB133">
        <v>0</v>
      </c>
      <c r="AC133">
        <v>0</v>
      </c>
      <c r="AD133">
        <v>4</v>
      </c>
      <c r="AE133">
        <v>344.33</v>
      </c>
      <c r="AF133">
        <v>0</v>
      </c>
      <c r="AG133">
        <v>24.11</v>
      </c>
      <c r="AH133">
        <v>21.33</v>
      </c>
      <c r="AI133">
        <v>389.77</v>
      </c>
      <c r="AJ133">
        <v>153.63999999999999</v>
      </c>
      <c r="AK133">
        <v>214.8</v>
      </c>
      <c r="AL133">
        <v>55.11</v>
      </c>
      <c r="AM133">
        <v>2193.5300000000002</v>
      </c>
      <c r="AN133" t="b">
        <v>1</v>
      </c>
      <c r="AO133">
        <v>3</v>
      </c>
    </row>
    <row r="134" spans="1:41" x14ac:dyDescent="0.35">
      <c r="A134" t="s">
        <v>752</v>
      </c>
      <c r="B134" s="1">
        <v>45668</v>
      </c>
      <c r="C134" s="2">
        <v>0.12914351851851852</v>
      </c>
      <c r="D134" t="s">
        <v>41</v>
      </c>
      <c r="E134" t="s">
        <v>111</v>
      </c>
      <c r="F134" t="s">
        <v>753</v>
      </c>
      <c r="G134" t="s">
        <v>754</v>
      </c>
      <c r="H134">
        <v>62</v>
      </c>
      <c r="I134" t="s">
        <v>43</v>
      </c>
      <c r="J134" t="s">
        <v>88</v>
      </c>
      <c r="K134" t="s">
        <v>45</v>
      </c>
      <c r="L134" t="s">
        <v>755</v>
      </c>
      <c r="M134" t="s">
        <v>130</v>
      </c>
      <c r="N134" t="s">
        <v>47</v>
      </c>
      <c r="O134" t="s">
        <v>70</v>
      </c>
      <c r="P134">
        <v>63278</v>
      </c>
      <c r="Q134" t="s">
        <v>113</v>
      </c>
      <c r="R134" t="s">
        <v>50</v>
      </c>
      <c r="S134" t="s">
        <v>51</v>
      </c>
      <c r="T134" t="s">
        <v>71</v>
      </c>
      <c r="U134" t="s">
        <v>53</v>
      </c>
      <c r="V134" t="s">
        <v>54</v>
      </c>
      <c r="W134" t="s">
        <v>41</v>
      </c>
      <c r="X134" t="s">
        <v>84</v>
      </c>
      <c r="Y134" t="s">
        <v>56</v>
      </c>
      <c r="Z134" t="s">
        <v>57</v>
      </c>
      <c r="AA134" t="s">
        <v>140</v>
      </c>
      <c r="AB134">
        <v>0</v>
      </c>
      <c r="AC134">
        <v>0</v>
      </c>
      <c r="AD134">
        <v>1</v>
      </c>
      <c r="AE134">
        <v>33.31</v>
      </c>
      <c r="AF134">
        <v>0</v>
      </c>
      <c r="AG134">
        <v>2.33</v>
      </c>
      <c r="AH134">
        <v>3.57</v>
      </c>
      <c r="AI134">
        <v>39.21</v>
      </c>
      <c r="AJ134">
        <v>14.45</v>
      </c>
      <c r="AK134">
        <v>21.19</v>
      </c>
      <c r="AL134">
        <v>54.04</v>
      </c>
      <c r="AM134">
        <v>14397.35</v>
      </c>
      <c r="AN134" t="b">
        <v>1</v>
      </c>
      <c r="AO134">
        <v>13</v>
      </c>
    </row>
    <row r="135" spans="1:41" x14ac:dyDescent="0.35">
      <c r="A135" t="s">
        <v>756</v>
      </c>
      <c r="B135" s="1">
        <v>45516</v>
      </c>
      <c r="C135" s="2">
        <v>6.8703703703703697E-2</v>
      </c>
      <c r="D135" t="s">
        <v>41</v>
      </c>
      <c r="E135" t="s">
        <v>42</v>
      </c>
      <c r="F135" t="s">
        <v>757</v>
      </c>
      <c r="G135" t="s">
        <v>758</v>
      </c>
      <c r="H135">
        <v>42</v>
      </c>
      <c r="I135" t="s">
        <v>78</v>
      </c>
      <c r="J135" t="s">
        <v>88</v>
      </c>
      <c r="K135" t="s">
        <v>152</v>
      </c>
      <c r="L135" t="s">
        <v>759</v>
      </c>
      <c r="M135" t="s">
        <v>112</v>
      </c>
      <c r="N135" t="s">
        <v>47</v>
      </c>
      <c r="O135" t="s">
        <v>48</v>
      </c>
      <c r="P135">
        <v>27315</v>
      </c>
      <c r="Q135" t="s">
        <v>113</v>
      </c>
      <c r="R135" t="s">
        <v>50</v>
      </c>
      <c r="S135" t="s">
        <v>51</v>
      </c>
      <c r="T135" t="s">
        <v>71</v>
      </c>
      <c r="U135" t="s">
        <v>120</v>
      </c>
      <c r="V135" t="s">
        <v>54</v>
      </c>
      <c r="W135" t="s">
        <v>41</v>
      </c>
      <c r="X135" t="s">
        <v>172</v>
      </c>
      <c r="Y135" t="s">
        <v>349</v>
      </c>
      <c r="Z135" t="s">
        <v>57</v>
      </c>
      <c r="AA135" t="s">
        <v>178</v>
      </c>
      <c r="AB135">
        <v>0</v>
      </c>
      <c r="AC135">
        <v>0</v>
      </c>
      <c r="AD135">
        <v>2</v>
      </c>
      <c r="AE135">
        <v>1225.57</v>
      </c>
      <c r="AF135">
        <v>0</v>
      </c>
      <c r="AG135">
        <v>85.79</v>
      </c>
      <c r="AH135">
        <v>9.6</v>
      </c>
      <c r="AI135">
        <v>1320.96</v>
      </c>
      <c r="AJ135">
        <v>699.5</v>
      </c>
      <c r="AK135">
        <v>611.86</v>
      </c>
      <c r="AL135">
        <v>46.32</v>
      </c>
      <c r="AM135">
        <v>5525.95</v>
      </c>
      <c r="AN135" t="b">
        <v>1</v>
      </c>
      <c r="AO135">
        <v>3</v>
      </c>
    </row>
    <row r="136" spans="1:41" x14ac:dyDescent="0.35">
      <c r="A136" t="s">
        <v>760</v>
      </c>
      <c r="B136" s="1">
        <v>44535</v>
      </c>
      <c r="C136" s="2">
        <v>1.2025462962962963E-2</v>
      </c>
      <c r="D136" t="s">
        <v>41</v>
      </c>
      <c r="E136" t="s">
        <v>77</v>
      </c>
      <c r="F136" t="s">
        <v>761</v>
      </c>
      <c r="G136" t="s">
        <v>762</v>
      </c>
      <c r="H136">
        <v>45</v>
      </c>
      <c r="I136" t="s">
        <v>43</v>
      </c>
      <c r="J136" t="s">
        <v>68</v>
      </c>
      <c r="K136" t="s">
        <v>45</v>
      </c>
      <c r="L136" t="s">
        <v>763</v>
      </c>
      <c r="M136" t="s">
        <v>193</v>
      </c>
      <c r="N136" t="s">
        <v>47</v>
      </c>
      <c r="O136" t="s">
        <v>106</v>
      </c>
      <c r="P136">
        <v>617</v>
      </c>
      <c r="Q136" t="s">
        <v>107</v>
      </c>
      <c r="R136" t="s">
        <v>50</v>
      </c>
      <c r="S136" t="s">
        <v>51</v>
      </c>
      <c r="T136" t="s">
        <v>65</v>
      </c>
      <c r="U136" t="s">
        <v>83</v>
      </c>
      <c r="V136" t="s">
        <v>54</v>
      </c>
      <c r="W136" t="s">
        <v>41</v>
      </c>
      <c r="X136" t="s">
        <v>156</v>
      </c>
      <c r="Y136" t="s">
        <v>99</v>
      </c>
      <c r="Z136" t="s">
        <v>57</v>
      </c>
      <c r="AA136" t="s">
        <v>220</v>
      </c>
      <c r="AB136">
        <v>0</v>
      </c>
      <c r="AC136">
        <v>0</v>
      </c>
      <c r="AD136">
        <v>4</v>
      </c>
      <c r="AE136">
        <v>1064.8900000000001</v>
      </c>
      <c r="AF136">
        <v>0</v>
      </c>
      <c r="AG136">
        <v>74.540000000000006</v>
      </c>
      <c r="AH136">
        <v>17.510000000000002</v>
      </c>
      <c r="AI136">
        <v>1156.94</v>
      </c>
      <c r="AJ136">
        <v>614.67999999999995</v>
      </c>
      <c r="AK136">
        <v>524.75</v>
      </c>
      <c r="AL136">
        <v>45.36</v>
      </c>
      <c r="AM136">
        <v>11218.02</v>
      </c>
      <c r="AN136" t="b">
        <v>1</v>
      </c>
      <c r="AO136">
        <v>7</v>
      </c>
    </row>
    <row r="137" spans="1:41" x14ac:dyDescent="0.35">
      <c r="A137" t="s">
        <v>765</v>
      </c>
      <c r="B137" s="1">
        <v>45272</v>
      </c>
      <c r="C137" s="2">
        <v>0.94600694444444444</v>
      </c>
      <c r="D137" t="s">
        <v>41</v>
      </c>
      <c r="E137" t="s">
        <v>42</v>
      </c>
      <c r="F137" t="s">
        <v>766</v>
      </c>
      <c r="G137" t="s">
        <v>767</v>
      </c>
      <c r="H137">
        <v>62</v>
      </c>
      <c r="I137" t="s">
        <v>173</v>
      </c>
      <c r="J137" t="s">
        <v>88</v>
      </c>
      <c r="K137" t="s">
        <v>45</v>
      </c>
      <c r="L137" t="s">
        <v>768</v>
      </c>
      <c r="M137" t="s">
        <v>69</v>
      </c>
      <c r="N137" t="s">
        <v>62</v>
      </c>
      <c r="O137" t="s">
        <v>70</v>
      </c>
      <c r="P137">
        <v>49885</v>
      </c>
      <c r="Q137" t="s">
        <v>113</v>
      </c>
      <c r="R137" t="s">
        <v>50</v>
      </c>
      <c r="S137" t="s">
        <v>64</v>
      </c>
      <c r="T137" t="s">
        <v>52</v>
      </c>
      <c r="U137" t="s">
        <v>324</v>
      </c>
      <c r="V137" t="s">
        <v>54</v>
      </c>
      <c r="W137" t="s">
        <v>41</v>
      </c>
      <c r="X137" t="s">
        <v>55</v>
      </c>
      <c r="Y137" t="s">
        <v>212</v>
      </c>
      <c r="Z137" t="s">
        <v>228</v>
      </c>
      <c r="AA137" t="s">
        <v>140</v>
      </c>
      <c r="AB137">
        <v>0</v>
      </c>
      <c r="AC137">
        <v>0</v>
      </c>
      <c r="AD137">
        <v>7</v>
      </c>
      <c r="AE137">
        <v>810.2</v>
      </c>
      <c r="AF137">
        <v>0</v>
      </c>
      <c r="AG137">
        <v>153.93</v>
      </c>
      <c r="AH137">
        <v>32.85</v>
      </c>
      <c r="AI137">
        <v>996.98</v>
      </c>
      <c r="AJ137">
        <v>437.89</v>
      </c>
      <c r="AK137">
        <v>526.24</v>
      </c>
      <c r="AL137">
        <v>52.78</v>
      </c>
      <c r="AM137">
        <v>3934.7</v>
      </c>
      <c r="AN137" t="b">
        <v>1</v>
      </c>
      <c r="AO137">
        <v>5</v>
      </c>
    </row>
    <row r="138" spans="1:41" x14ac:dyDescent="0.35">
      <c r="A138" t="s">
        <v>769</v>
      </c>
      <c r="B138" s="1">
        <v>44843</v>
      </c>
      <c r="C138" s="2">
        <v>0.45004629629629628</v>
      </c>
      <c r="D138" t="s">
        <v>41</v>
      </c>
      <c r="E138" t="s">
        <v>42</v>
      </c>
      <c r="F138" t="s">
        <v>770</v>
      </c>
      <c r="G138" t="s">
        <v>771</v>
      </c>
      <c r="H138">
        <v>64</v>
      </c>
      <c r="I138" t="s">
        <v>43</v>
      </c>
      <c r="J138" t="s">
        <v>88</v>
      </c>
      <c r="K138" t="s">
        <v>45</v>
      </c>
      <c r="L138" t="s">
        <v>772</v>
      </c>
      <c r="M138" t="s">
        <v>160</v>
      </c>
      <c r="N138" t="s">
        <v>123</v>
      </c>
      <c r="O138" t="s">
        <v>118</v>
      </c>
      <c r="P138">
        <v>61982</v>
      </c>
      <c r="Q138" t="s">
        <v>96</v>
      </c>
      <c r="R138" t="s">
        <v>50</v>
      </c>
      <c r="S138" t="s">
        <v>124</v>
      </c>
      <c r="T138" t="s">
        <v>71</v>
      </c>
      <c r="U138" t="s">
        <v>66</v>
      </c>
      <c r="V138" t="s">
        <v>54</v>
      </c>
      <c r="W138" t="s">
        <v>41</v>
      </c>
      <c r="X138" t="s">
        <v>172</v>
      </c>
      <c r="Y138" t="s">
        <v>108</v>
      </c>
      <c r="Z138" t="s">
        <v>245</v>
      </c>
      <c r="AA138" t="s">
        <v>192</v>
      </c>
      <c r="AB138">
        <v>0</v>
      </c>
      <c r="AC138">
        <v>0</v>
      </c>
      <c r="AD138">
        <v>5</v>
      </c>
      <c r="AE138">
        <v>903</v>
      </c>
      <c r="AF138">
        <v>0</v>
      </c>
      <c r="AG138">
        <v>180.6</v>
      </c>
      <c r="AH138">
        <v>3.22</v>
      </c>
      <c r="AI138">
        <v>1086.82</v>
      </c>
      <c r="AJ138">
        <v>414.65</v>
      </c>
      <c r="AK138">
        <v>668.95</v>
      </c>
      <c r="AL138">
        <v>61.55</v>
      </c>
      <c r="AM138">
        <v>9097.14</v>
      </c>
      <c r="AN138" t="b">
        <v>1</v>
      </c>
      <c r="AO138">
        <v>5</v>
      </c>
    </row>
    <row r="139" spans="1:41" x14ac:dyDescent="0.35">
      <c r="A139" t="s">
        <v>773</v>
      </c>
      <c r="B139" s="1">
        <v>45352</v>
      </c>
      <c r="C139" s="2">
        <v>0.52759259259259261</v>
      </c>
      <c r="D139" t="s">
        <v>41</v>
      </c>
      <c r="E139" t="s">
        <v>77</v>
      </c>
      <c r="F139" t="s">
        <v>774</v>
      </c>
      <c r="G139" t="s">
        <v>775</v>
      </c>
      <c r="H139">
        <v>45</v>
      </c>
      <c r="I139" t="s">
        <v>78</v>
      </c>
      <c r="J139" t="s">
        <v>88</v>
      </c>
      <c r="K139" t="s">
        <v>45</v>
      </c>
      <c r="L139" t="s">
        <v>776</v>
      </c>
      <c r="M139" t="s">
        <v>79</v>
      </c>
      <c r="N139" t="s">
        <v>47</v>
      </c>
      <c r="O139" t="s">
        <v>80</v>
      </c>
      <c r="P139">
        <v>35517</v>
      </c>
      <c r="Q139" t="s">
        <v>63</v>
      </c>
      <c r="R139" t="s">
        <v>50</v>
      </c>
      <c r="S139" t="s">
        <v>51</v>
      </c>
      <c r="T139" t="s">
        <v>52</v>
      </c>
      <c r="U139" t="s">
        <v>114</v>
      </c>
      <c r="V139" t="s">
        <v>54</v>
      </c>
      <c r="W139" t="s">
        <v>41</v>
      </c>
      <c r="X139" t="s">
        <v>172</v>
      </c>
      <c r="Y139" t="s">
        <v>56</v>
      </c>
      <c r="Z139" t="s">
        <v>57</v>
      </c>
      <c r="AA139" t="s">
        <v>140</v>
      </c>
      <c r="AB139">
        <v>0</v>
      </c>
      <c r="AC139">
        <v>0</v>
      </c>
      <c r="AD139">
        <v>3</v>
      </c>
      <c r="AE139">
        <v>445.23</v>
      </c>
      <c r="AF139">
        <v>0</v>
      </c>
      <c r="AG139">
        <v>31.17</v>
      </c>
      <c r="AH139">
        <v>6.46</v>
      </c>
      <c r="AI139">
        <v>482.86</v>
      </c>
      <c r="AJ139">
        <v>240.51</v>
      </c>
      <c r="AK139">
        <v>235.89</v>
      </c>
      <c r="AL139">
        <v>48.85</v>
      </c>
      <c r="AM139">
        <v>4532.3999999999996</v>
      </c>
      <c r="AN139" t="b">
        <v>1</v>
      </c>
      <c r="AO139">
        <v>5</v>
      </c>
    </row>
    <row r="140" spans="1:41" x14ac:dyDescent="0.35">
      <c r="A140" t="s">
        <v>777</v>
      </c>
      <c r="B140" s="1">
        <v>44509</v>
      </c>
      <c r="C140" s="2">
        <v>0.27953703703703703</v>
      </c>
      <c r="D140" t="s">
        <v>41</v>
      </c>
      <c r="E140" t="s">
        <v>77</v>
      </c>
      <c r="F140" t="s">
        <v>778</v>
      </c>
      <c r="G140" t="s">
        <v>779</v>
      </c>
      <c r="H140">
        <v>50</v>
      </c>
      <c r="I140" t="s">
        <v>78</v>
      </c>
      <c r="J140" t="s">
        <v>88</v>
      </c>
      <c r="K140" t="s">
        <v>45</v>
      </c>
      <c r="L140" t="s">
        <v>780</v>
      </c>
      <c r="M140" t="s">
        <v>298</v>
      </c>
      <c r="N140" t="s">
        <v>165</v>
      </c>
      <c r="O140" t="s">
        <v>70</v>
      </c>
      <c r="P140">
        <v>50575</v>
      </c>
      <c r="Q140" t="s">
        <v>113</v>
      </c>
      <c r="R140" t="s">
        <v>50</v>
      </c>
      <c r="S140" t="s">
        <v>166</v>
      </c>
      <c r="T140" t="s">
        <v>52</v>
      </c>
      <c r="U140" t="s">
        <v>120</v>
      </c>
      <c r="V140" t="s">
        <v>54</v>
      </c>
      <c r="W140" t="s">
        <v>41</v>
      </c>
      <c r="X140" t="s">
        <v>172</v>
      </c>
      <c r="Y140" t="s">
        <v>99</v>
      </c>
      <c r="Z140" t="s">
        <v>57</v>
      </c>
      <c r="AA140" t="s">
        <v>144</v>
      </c>
      <c r="AB140">
        <v>0</v>
      </c>
      <c r="AC140">
        <v>0</v>
      </c>
      <c r="AD140">
        <v>5</v>
      </c>
      <c r="AE140">
        <v>2261.7199999999998</v>
      </c>
      <c r="AF140">
        <v>0</v>
      </c>
      <c r="AG140">
        <v>113.09</v>
      </c>
      <c r="AH140">
        <v>61.56</v>
      </c>
      <c r="AI140">
        <v>2436.37</v>
      </c>
      <c r="AJ140">
        <v>1344.3</v>
      </c>
      <c r="AK140">
        <v>1030.51</v>
      </c>
      <c r="AL140">
        <v>42.3</v>
      </c>
      <c r="AM140">
        <v>5283.24</v>
      </c>
      <c r="AN140" t="b">
        <v>1</v>
      </c>
      <c r="AO140">
        <v>6</v>
      </c>
    </row>
    <row r="141" spans="1:41" x14ac:dyDescent="0.35">
      <c r="A141" t="s">
        <v>781</v>
      </c>
      <c r="B141" s="1">
        <v>44624</v>
      </c>
      <c r="C141" s="2">
        <v>0.21519675925925927</v>
      </c>
      <c r="D141" t="s">
        <v>41</v>
      </c>
      <c r="E141" t="s">
        <v>42</v>
      </c>
      <c r="F141" t="s">
        <v>782</v>
      </c>
      <c r="G141" t="s">
        <v>783</v>
      </c>
      <c r="H141">
        <v>59</v>
      </c>
      <c r="I141" t="s">
        <v>78</v>
      </c>
      <c r="J141" t="s">
        <v>68</v>
      </c>
      <c r="K141" t="s">
        <v>45</v>
      </c>
      <c r="L141" t="s">
        <v>784</v>
      </c>
      <c r="M141" t="s">
        <v>89</v>
      </c>
      <c r="N141" t="s">
        <v>90</v>
      </c>
      <c r="O141" t="s">
        <v>48</v>
      </c>
      <c r="P141">
        <v>2026</v>
      </c>
      <c r="Q141" t="s">
        <v>81</v>
      </c>
      <c r="R141" t="s">
        <v>50</v>
      </c>
      <c r="S141" t="s">
        <v>91</v>
      </c>
      <c r="T141" t="s">
        <v>52</v>
      </c>
      <c r="U141" t="s">
        <v>72</v>
      </c>
      <c r="V141" t="s">
        <v>54</v>
      </c>
      <c r="W141" t="s">
        <v>41</v>
      </c>
      <c r="X141" t="s">
        <v>156</v>
      </c>
      <c r="Y141" t="s">
        <v>131</v>
      </c>
      <c r="Z141" t="s">
        <v>132</v>
      </c>
      <c r="AA141" t="s">
        <v>256</v>
      </c>
      <c r="AB141">
        <v>0</v>
      </c>
      <c r="AC141">
        <v>0</v>
      </c>
      <c r="AD141">
        <v>4</v>
      </c>
      <c r="AE141">
        <v>222.08</v>
      </c>
      <c r="AF141">
        <v>0</v>
      </c>
      <c r="AG141">
        <v>28.87</v>
      </c>
      <c r="AH141">
        <v>7.98</v>
      </c>
      <c r="AI141">
        <v>258.93</v>
      </c>
      <c r="AJ141">
        <v>88.98</v>
      </c>
      <c r="AK141">
        <v>161.97</v>
      </c>
      <c r="AL141">
        <v>62.55</v>
      </c>
      <c r="AM141">
        <v>7257.95</v>
      </c>
      <c r="AN141" t="b">
        <v>1</v>
      </c>
      <c r="AO141">
        <v>7</v>
      </c>
    </row>
    <row r="142" spans="1:41" x14ac:dyDescent="0.35">
      <c r="A142" t="s">
        <v>785</v>
      </c>
      <c r="B142" s="1">
        <v>45780</v>
      </c>
      <c r="C142" s="2">
        <v>9.3206018518518521E-2</v>
      </c>
      <c r="D142" t="s">
        <v>41</v>
      </c>
      <c r="E142" t="s">
        <v>77</v>
      </c>
      <c r="F142" t="s">
        <v>786</v>
      </c>
      <c r="G142" t="s">
        <v>787</v>
      </c>
      <c r="H142">
        <v>40</v>
      </c>
      <c r="I142" t="s">
        <v>43</v>
      </c>
      <c r="J142" t="s">
        <v>44</v>
      </c>
      <c r="K142" t="s">
        <v>45</v>
      </c>
      <c r="L142" t="s">
        <v>788</v>
      </c>
      <c r="M142" t="s">
        <v>61</v>
      </c>
      <c r="N142" t="s">
        <v>62</v>
      </c>
      <c r="O142" t="s">
        <v>48</v>
      </c>
      <c r="P142">
        <v>85206</v>
      </c>
      <c r="Q142" t="s">
        <v>96</v>
      </c>
      <c r="R142" t="s">
        <v>50</v>
      </c>
      <c r="S142" t="s">
        <v>64</v>
      </c>
      <c r="T142" t="s">
        <v>71</v>
      </c>
      <c r="U142" t="s">
        <v>324</v>
      </c>
      <c r="V142" t="s">
        <v>54</v>
      </c>
      <c r="W142" t="s">
        <v>41</v>
      </c>
      <c r="X142" t="s">
        <v>98</v>
      </c>
      <c r="Y142" t="s">
        <v>99</v>
      </c>
      <c r="Z142" t="s">
        <v>57</v>
      </c>
      <c r="AA142" t="s">
        <v>167</v>
      </c>
      <c r="AB142">
        <v>0</v>
      </c>
      <c r="AC142">
        <v>0</v>
      </c>
      <c r="AD142">
        <v>15</v>
      </c>
      <c r="AE142">
        <v>1949.5</v>
      </c>
      <c r="AF142">
        <v>0</v>
      </c>
      <c r="AG142">
        <v>370.41</v>
      </c>
      <c r="AH142">
        <v>15.97</v>
      </c>
      <c r="AI142">
        <v>2335.88</v>
      </c>
      <c r="AJ142">
        <v>899.54</v>
      </c>
      <c r="AK142">
        <v>1420.37</v>
      </c>
      <c r="AL142">
        <v>60.81</v>
      </c>
      <c r="AM142">
        <v>6438.86</v>
      </c>
      <c r="AN142" t="b">
        <v>1</v>
      </c>
      <c r="AO142">
        <v>5</v>
      </c>
    </row>
    <row r="143" spans="1:41" x14ac:dyDescent="0.35">
      <c r="A143" t="s">
        <v>789</v>
      </c>
      <c r="B143" s="1">
        <v>44448</v>
      </c>
      <c r="C143" s="2">
        <v>0.49371527777777779</v>
      </c>
      <c r="D143" t="s">
        <v>41</v>
      </c>
      <c r="E143" t="s">
        <v>42</v>
      </c>
      <c r="F143" t="s">
        <v>790</v>
      </c>
      <c r="G143" t="s">
        <v>791</v>
      </c>
      <c r="H143">
        <v>73</v>
      </c>
      <c r="I143" t="s">
        <v>43</v>
      </c>
      <c r="J143" t="s">
        <v>68</v>
      </c>
      <c r="K143" t="s">
        <v>45</v>
      </c>
      <c r="L143" t="s">
        <v>792</v>
      </c>
      <c r="M143" t="s">
        <v>293</v>
      </c>
      <c r="N143" t="s">
        <v>123</v>
      </c>
      <c r="O143" t="s">
        <v>118</v>
      </c>
      <c r="P143">
        <v>84952</v>
      </c>
      <c r="Q143" t="s">
        <v>137</v>
      </c>
      <c r="R143" t="s">
        <v>50</v>
      </c>
      <c r="S143" t="s">
        <v>124</v>
      </c>
      <c r="T143" t="s">
        <v>71</v>
      </c>
      <c r="U143" t="s">
        <v>66</v>
      </c>
      <c r="V143" t="s">
        <v>54</v>
      </c>
      <c r="W143" t="s">
        <v>41</v>
      </c>
      <c r="X143" t="s">
        <v>261</v>
      </c>
      <c r="Y143" t="s">
        <v>212</v>
      </c>
      <c r="Z143" t="s">
        <v>228</v>
      </c>
      <c r="AA143" t="s">
        <v>58</v>
      </c>
      <c r="AB143">
        <v>0</v>
      </c>
      <c r="AC143">
        <v>0</v>
      </c>
      <c r="AD143">
        <v>10</v>
      </c>
      <c r="AE143">
        <v>1603.51</v>
      </c>
      <c r="AF143">
        <v>0</v>
      </c>
      <c r="AG143">
        <v>320.7</v>
      </c>
      <c r="AH143">
        <v>19.47</v>
      </c>
      <c r="AI143">
        <v>1943.68</v>
      </c>
      <c r="AJ143">
        <v>583.64</v>
      </c>
      <c r="AK143">
        <v>1340.57</v>
      </c>
      <c r="AL143">
        <v>68.97</v>
      </c>
      <c r="AM143">
        <v>10364.52</v>
      </c>
      <c r="AN143" t="b">
        <v>1</v>
      </c>
      <c r="AO143">
        <v>6</v>
      </c>
    </row>
    <row r="144" spans="1:41" x14ac:dyDescent="0.35">
      <c r="A144" t="s">
        <v>793</v>
      </c>
      <c r="B144" s="1">
        <v>45082</v>
      </c>
      <c r="C144" s="2">
        <v>0.88452546296296297</v>
      </c>
      <c r="D144" t="s">
        <v>41</v>
      </c>
      <c r="E144" t="s">
        <v>111</v>
      </c>
      <c r="F144" t="s">
        <v>794</v>
      </c>
      <c r="G144" t="s">
        <v>795</v>
      </c>
      <c r="H144">
        <v>60</v>
      </c>
      <c r="I144" t="s">
        <v>78</v>
      </c>
      <c r="J144" t="s">
        <v>88</v>
      </c>
      <c r="K144" t="s">
        <v>45</v>
      </c>
      <c r="L144" t="s">
        <v>796</v>
      </c>
      <c r="M144" t="s">
        <v>148</v>
      </c>
      <c r="N144" t="s">
        <v>47</v>
      </c>
      <c r="O144" t="s">
        <v>70</v>
      </c>
      <c r="P144">
        <v>86297</v>
      </c>
      <c r="Q144" t="s">
        <v>49</v>
      </c>
      <c r="R144" t="s">
        <v>50</v>
      </c>
      <c r="S144" t="s">
        <v>51</v>
      </c>
      <c r="T144" t="s">
        <v>52</v>
      </c>
      <c r="U144" t="s">
        <v>145</v>
      </c>
      <c r="V144" t="s">
        <v>54</v>
      </c>
      <c r="W144" t="s">
        <v>41</v>
      </c>
      <c r="X144" t="s">
        <v>98</v>
      </c>
      <c r="Y144" t="s">
        <v>85</v>
      </c>
      <c r="Z144" t="s">
        <v>146</v>
      </c>
      <c r="AA144" t="s">
        <v>214</v>
      </c>
      <c r="AB144">
        <v>0</v>
      </c>
      <c r="AC144">
        <v>0</v>
      </c>
      <c r="AD144">
        <v>1</v>
      </c>
      <c r="AE144">
        <v>270.24</v>
      </c>
      <c r="AF144">
        <v>0</v>
      </c>
      <c r="AG144">
        <v>18.920000000000002</v>
      </c>
      <c r="AH144">
        <v>5.96</v>
      </c>
      <c r="AI144">
        <v>295.12</v>
      </c>
      <c r="AJ144">
        <v>123.14</v>
      </c>
      <c r="AK144">
        <v>166.02</v>
      </c>
      <c r="AL144">
        <v>56.26</v>
      </c>
      <c r="AM144">
        <v>9257.5300000000007</v>
      </c>
      <c r="AN144" t="b">
        <v>1</v>
      </c>
      <c r="AO144">
        <v>8</v>
      </c>
    </row>
    <row r="145" spans="1:41" x14ac:dyDescent="0.35">
      <c r="A145" t="s">
        <v>797</v>
      </c>
      <c r="B145" s="1">
        <v>45357</v>
      </c>
      <c r="C145" s="2">
        <v>0.14454861111111111</v>
      </c>
      <c r="D145" t="s">
        <v>41</v>
      </c>
      <c r="E145" t="s">
        <v>42</v>
      </c>
      <c r="F145" t="s">
        <v>798</v>
      </c>
      <c r="G145" t="s">
        <v>799</v>
      </c>
      <c r="H145">
        <v>67</v>
      </c>
      <c r="I145" t="s">
        <v>78</v>
      </c>
      <c r="J145" t="s">
        <v>60</v>
      </c>
      <c r="K145" t="s">
        <v>45</v>
      </c>
      <c r="L145" t="s">
        <v>800</v>
      </c>
      <c r="M145" t="s">
        <v>160</v>
      </c>
      <c r="N145" t="s">
        <v>123</v>
      </c>
      <c r="O145" t="s">
        <v>118</v>
      </c>
      <c r="P145">
        <v>59506</v>
      </c>
      <c r="Q145" t="s">
        <v>113</v>
      </c>
      <c r="R145" t="s">
        <v>50</v>
      </c>
      <c r="S145" t="s">
        <v>124</v>
      </c>
      <c r="T145" t="s">
        <v>65</v>
      </c>
      <c r="U145" t="s">
        <v>243</v>
      </c>
      <c r="V145" t="s">
        <v>54</v>
      </c>
      <c r="W145" t="s">
        <v>41</v>
      </c>
      <c r="X145" t="s">
        <v>156</v>
      </c>
      <c r="Y145" t="s">
        <v>108</v>
      </c>
      <c r="Z145" t="s">
        <v>109</v>
      </c>
      <c r="AA145" t="s">
        <v>178</v>
      </c>
      <c r="AB145">
        <v>0</v>
      </c>
      <c r="AC145">
        <v>0</v>
      </c>
      <c r="AD145">
        <v>6</v>
      </c>
      <c r="AE145">
        <v>1212.31</v>
      </c>
      <c r="AF145">
        <v>0</v>
      </c>
      <c r="AG145">
        <v>242.47</v>
      </c>
      <c r="AH145">
        <v>27.64</v>
      </c>
      <c r="AI145">
        <v>1482.42</v>
      </c>
      <c r="AJ145">
        <v>518.05999999999995</v>
      </c>
      <c r="AK145">
        <v>936.72</v>
      </c>
      <c r="AL145">
        <v>63.19</v>
      </c>
      <c r="AM145">
        <v>4690.37</v>
      </c>
      <c r="AN145" t="b">
        <v>1</v>
      </c>
      <c r="AO145">
        <v>4</v>
      </c>
    </row>
    <row r="146" spans="1:41" x14ac:dyDescent="0.35">
      <c r="A146" t="s">
        <v>801</v>
      </c>
      <c r="B146" s="1">
        <v>45905</v>
      </c>
      <c r="C146" s="2">
        <v>0.2638773148148148</v>
      </c>
      <c r="D146" t="s">
        <v>41</v>
      </c>
      <c r="E146" t="s">
        <v>111</v>
      </c>
      <c r="F146" t="s">
        <v>802</v>
      </c>
      <c r="G146" t="s">
        <v>803</v>
      </c>
      <c r="H146">
        <v>72</v>
      </c>
      <c r="I146" t="s">
        <v>43</v>
      </c>
      <c r="J146" t="s">
        <v>60</v>
      </c>
      <c r="K146" t="s">
        <v>45</v>
      </c>
      <c r="L146" t="s">
        <v>804</v>
      </c>
      <c r="M146" t="s">
        <v>130</v>
      </c>
      <c r="N146" t="s">
        <v>47</v>
      </c>
      <c r="O146" t="s">
        <v>70</v>
      </c>
      <c r="P146">
        <v>46139</v>
      </c>
      <c r="Q146" t="s">
        <v>113</v>
      </c>
      <c r="R146" t="s">
        <v>50</v>
      </c>
      <c r="S146" t="s">
        <v>51</v>
      </c>
      <c r="T146" t="s">
        <v>52</v>
      </c>
      <c r="U146" t="s">
        <v>324</v>
      </c>
      <c r="V146" t="s">
        <v>54</v>
      </c>
      <c r="W146" t="s">
        <v>41</v>
      </c>
      <c r="X146" t="s">
        <v>55</v>
      </c>
      <c r="Y146" t="s">
        <v>74</v>
      </c>
      <c r="Z146" t="s">
        <v>139</v>
      </c>
      <c r="AA146" t="s">
        <v>220</v>
      </c>
      <c r="AB146">
        <v>0</v>
      </c>
      <c r="AC146">
        <v>0</v>
      </c>
      <c r="AD146">
        <v>4</v>
      </c>
      <c r="AE146">
        <v>371.27</v>
      </c>
      <c r="AF146">
        <v>0</v>
      </c>
      <c r="AG146">
        <v>25.99</v>
      </c>
      <c r="AH146">
        <v>12.37</v>
      </c>
      <c r="AI146">
        <v>409.63</v>
      </c>
      <c r="AJ146">
        <v>186.07</v>
      </c>
      <c r="AK146">
        <v>211.19</v>
      </c>
      <c r="AL146">
        <v>51.56</v>
      </c>
      <c r="AM146">
        <v>9675.6200000000008</v>
      </c>
      <c r="AN146" t="b">
        <v>1</v>
      </c>
      <c r="AO146">
        <v>7</v>
      </c>
    </row>
    <row r="147" spans="1:41" x14ac:dyDescent="0.35">
      <c r="A147" t="s">
        <v>805</v>
      </c>
      <c r="B147" s="1">
        <v>45536</v>
      </c>
      <c r="C147" s="2">
        <v>0.65004629629629629</v>
      </c>
      <c r="D147" t="s">
        <v>41</v>
      </c>
      <c r="E147" t="s">
        <v>77</v>
      </c>
      <c r="F147" t="s">
        <v>806</v>
      </c>
      <c r="G147" t="s">
        <v>807</v>
      </c>
      <c r="H147">
        <v>20</v>
      </c>
      <c r="I147" t="s">
        <v>78</v>
      </c>
      <c r="J147" t="s">
        <v>88</v>
      </c>
      <c r="K147" t="s">
        <v>45</v>
      </c>
      <c r="L147" t="s">
        <v>808</v>
      </c>
      <c r="M147" t="s">
        <v>254</v>
      </c>
      <c r="N147" t="s">
        <v>90</v>
      </c>
      <c r="O147" t="s">
        <v>48</v>
      </c>
      <c r="P147">
        <v>33450</v>
      </c>
      <c r="Q147" t="s">
        <v>49</v>
      </c>
      <c r="R147" t="s">
        <v>50</v>
      </c>
      <c r="S147" t="s">
        <v>91</v>
      </c>
      <c r="T147" t="s">
        <v>82</v>
      </c>
      <c r="U147" t="s">
        <v>138</v>
      </c>
      <c r="V147" t="s">
        <v>54</v>
      </c>
      <c r="W147" t="s">
        <v>41</v>
      </c>
      <c r="X147" t="s">
        <v>55</v>
      </c>
      <c r="Y147" t="s">
        <v>74</v>
      </c>
      <c r="Z147" t="s">
        <v>75</v>
      </c>
      <c r="AA147" t="s">
        <v>87</v>
      </c>
      <c r="AB147">
        <v>0</v>
      </c>
      <c r="AC147">
        <v>0</v>
      </c>
      <c r="AD147">
        <v>2</v>
      </c>
      <c r="AE147">
        <v>131.31</v>
      </c>
      <c r="AF147">
        <v>0</v>
      </c>
      <c r="AG147">
        <v>17.07</v>
      </c>
      <c r="AH147">
        <v>34.85</v>
      </c>
      <c r="AI147">
        <v>183.23</v>
      </c>
      <c r="AJ147">
        <v>46.35</v>
      </c>
      <c r="AK147">
        <v>102.03</v>
      </c>
      <c r="AL147">
        <v>55.68</v>
      </c>
      <c r="AM147">
        <v>12088.23</v>
      </c>
      <c r="AN147" t="b">
        <v>1</v>
      </c>
      <c r="AO147">
        <v>7</v>
      </c>
    </row>
    <row r="148" spans="1:41" x14ac:dyDescent="0.35">
      <c r="A148" t="s">
        <v>809</v>
      </c>
      <c r="B148" s="1">
        <v>45239</v>
      </c>
      <c r="C148" s="2">
        <v>0.51790509259259254</v>
      </c>
      <c r="D148" t="s">
        <v>41</v>
      </c>
      <c r="E148" t="s">
        <v>59</v>
      </c>
      <c r="F148" t="s">
        <v>810</v>
      </c>
      <c r="G148" t="s">
        <v>811</v>
      </c>
      <c r="H148">
        <v>52</v>
      </c>
      <c r="I148" t="s">
        <v>43</v>
      </c>
      <c r="J148" t="s">
        <v>68</v>
      </c>
      <c r="K148" t="s">
        <v>45</v>
      </c>
      <c r="L148" t="s">
        <v>812</v>
      </c>
      <c r="M148" t="s">
        <v>154</v>
      </c>
      <c r="N148" t="s">
        <v>47</v>
      </c>
      <c r="O148" t="s">
        <v>48</v>
      </c>
      <c r="P148">
        <v>96941</v>
      </c>
      <c r="Q148" t="s">
        <v>96</v>
      </c>
      <c r="R148" t="s">
        <v>50</v>
      </c>
      <c r="S148" t="s">
        <v>51</v>
      </c>
      <c r="T148" t="s">
        <v>52</v>
      </c>
      <c r="U148" t="s">
        <v>83</v>
      </c>
      <c r="V148" t="s">
        <v>54</v>
      </c>
      <c r="W148" t="s">
        <v>41</v>
      </c>
      <c r="X148" t="s">
        <v>98</v>
      </c>
      <c r="Y148" t="s">
        <v>99</v>
      </c>
      <c r="Z148" t="s">
        <v>57</v>
      </c>
      <c r="AA148" t="s">
        <v>247</v>
      </c>
      <c r="AB148">
        <v>0</v>
      </c>
      <c r="AC148">
        <v>0</v>
      </c>
      <c r="AD148">
        <v>4</v>
      </c>
      <c r="AE148">
        <v>1386.92</v>
      </c>
      <c r="AF148">
        <v>0</v>
      </c>
      <c r="AG148">
        <v>97.09</v>
      </c>
      <c r="AH148">
        <v>15.21</v>
      </c>
      <c r="AI148">
        <v>1499.22</v>
      </c>
      <c r="AJ148">
        <v>639.71</v>
      </c>
      <c r="AK148">
        <v>844.3</v>
      </c>
      <c r="AL148">
        <v>56.32</v>
      </c>
      <c r="AM148">
        <v>13250.93</v>
      </c>
      <c r="AN148" t="b">
        <v>1</v>
      </c>
      <c r="AO148">
        <v>9</v>
      </c>
    </row>
    <row r="149" spans="1:41" x14ac:dyDescent="0.35">
      <c r="A149" t="s">
        <v>813</v>
      </c>
      <c r="B149" s="1">
        <v>44898</v>
      </c>
      <c r="C149" s="2">
        <v>0.60452546296296295</v>
      </c>
      <c r="D149" t="s">
        <v>41</v>
      </c>
      <c r="E149" t="s">
        <v>42</v>
      </c>
      <c r="F149" t="s">
        <v>814</v>
      </c>
      <c r="G149" t="s">
        <v>815</v>
      </c>
      <c r="H149">
        <v>18</v>
      </c>
      <c r="I149" t="s">
        <v>78</v>
      </c>
      <c r="J149" t="s">
        <v>44</v>
      </c>
      <c r="K149" t="s">
        <v>45</v>
      </c>
      <c r="L149" t="s">
        <v>136</v>
      </c>
      <c r="M149" t="s">
        <v>69</v>
      </c>
      <c r="N149" t="s">
        <v>62</v>
      </c>
      <c r="O149" t="s">
        <v>70</v>
      </c>
      <c r="P149">
        <v>23793</v>
      </c>
      <c r="Q149" t="s">
        <v>96</v>
      </c>
      <c r="R149" t="s">
        <v>50</v>
      </c>
      <c r="S149" t="s">
        <v>64</v>
      </c>
      <c r="T149" t="s">
        <v>65</v>
      </c>
      <c r="U149" t="s">
        <v>221</v>
      </c>
      <c r="V149" t="s">
        <v>54</v>
      </c>
      <c r="W149" t="s">
        <v>41</v>
      </c>
      <c r="X149" t="s">
        <v>261</v>
      </c>
      <c r="Y149" t="s">
        <v>255</v>
      </c>
      <c r="Z149" t="s">
        <v>57</v>
      </c>
      <c r="AA149" t="s">
        <v>246</v>
      </c>
      <c r="AB149">
        <v>0</v>
      </c>
      <c r="AC149">
        <v>0</v>
      </c>
      <c r="AD149">
        <v>7</v>
      </c>
      <c r="AE149">
        <v>2422.67</v>
      </c>
      <c r="AF149">
        <v>0</v>
      </c>
      <c r="AG149">
        <v>460.31</v>
      </c>
      <c r="AH149">
        <v>12.34</v>
      </c>
      <c r="AI149">
        <v>2895.32</v>
      </c>
      <c r="AJ149">
        <v>1122.7</v>
      </c>
      <c r="AK149">
        <v>1760.28</v>
      </c>
      <c r="AL149">
        <v>60.8</v>
      </c>
      <c r="AM149">
        <v>7701.48</v>
      </c>
      <c r="AN149" t="b">
        <v>1</v>
      </c>
      <c r="AO149">
        <v>6</v>
      </c>
    </row>
    <row r="150" spans="1:41" x14ac:dyDescent="0.35">
      <c r="A150" t="s">
        <v>816</v>
      </c>
      <c r="B150" s="1">
        <v>45910</v>
      </c>
      <c r="C150" s="2">
        <v>0.15626157407407407</v>
      </c>
      <c r="D150" t="s">
        <v>41</v>
      </c>
      <c r="E150" t="s">
        <v>77</v>
      </c>
      <c r="F150" t="s">
        <v>817</v>
      </c>
      <c r="G150" t="s">
        <v>818</v>
      </c>
      <c r="H150">
        <v>64</v>
      </c>
      <c r="I150" t="s">
        <v>43</v>
      </c>
      <c r="J150" t="s">
        <v>88</v>
      </c>
      <c r="K150" t="s">
        <v>45</v>
      </c>
      <c r="L150" t="s">
        <v>819</v>
      </c>
      <c r="M150" t="s">
        <v>254</v>
      </c>
      <c r="N150" t="s">
        <v>90</v>
      </c>
      <c r="O150" t="s">
        <v>48</v>
      </c>
      <c r="P150">
        <v>74191</v>
      </c>
      <c r="Q150" t="s">
        <v>63</v>
      </c>
      <c r="R150" t="s">
        <v>50</v>
      </c>
      <c r="S150" t="s">
        <v>91</v>
      </c>
      <c r="T150" t="s">
        <v>71</v>
      </c>
      <c r="U150" t="s">
        <v>163</v>
      </c>
      <c r="V150" t="s">
        <v>54</v>
      </c>
      <c r="W150" t="s">
        <v>41</v>
      </c>
      <c r="X150" t="s">
        <v>261</v>
      </c>
      <c r="Y150" t="s">
        <v>99</v>
      </c>
      <c r="Z150" t="s">
        <v>57</v>
      </c>
      <c r="AA150" t="s">
        <v>144</v>
      </c>
      <c r="AB150">
        <v>0</v>
      </c>
      <c r="AC150">
        <v>0</v>
      </c>
      <c r="AD150">
        <v>8</v>
      </c>
      <c r="AE150">
        <v>2714.8</v>
      </c>
      <c r="AF150">
        <v>0</v>
      </c>
      <c r="AG150">
        <v>352.93</v>
      </c>
      <c r="AH150">
        <v>40.229999999999997</v>
      </c>
      <c r="AI150">
        <v>3107.96</v>
      </c>
      <c r="AJ150">
        <v>1290.6600000000001</v>
      </c>
      <c r="AK150">
        <v>1777.07</v>
      </c>
      <c r="AL150">
        <v>57.18</v>
      </c>
      <c r="AM150">
        <v>11516.34</v>
      </c>
      <c r="AN150" t="b">
        <v>1</v>
      </c>
      <c r="AO150">
        <v>5</v>
      </c>
    </row>
    <row r="151" spans="1:41" x14ac:dyDescent="0.35">
      <c r="A151" t="s">
        <v>821</v>
      </c>
      <c r="B151" s="1">
        <v>44261</v>
      </c>
      <c r="C151" s="2">
        <v>0.98537037037037034</v>
      </c>
      <c r="D151" t="s">
        <v>41</v>
      </c>
      <c r="E151" t="s">
        <v>77</v>
      </c>
      <c r="F151" t="s">
        <v>822</v>
      </c>
      <c r="G151" t="s">
        <v>823</v>
      </c>
      <c r="H151">
        <v>42</v>
      </c>
      <c r="I151" t="s">
        <v>43</v>
      </c>
      <c r="J151" t="s">
        <v>88</v>
      </c>
      <c r="K151" t="s">
        <v>45</v>
      </c>
      <c r="L151" t="s">
        <v>824</v>
      </c>
      <c r="M151" t="s">
        <v>193</v>
      </c>
      <c r="N151" t="s">
        <v>47</v>
      </c>
      <c r="O151" t="s">
        <v>106</v>
      </c>
      <c r="P151">
        <v>23421</v>
      </c>
      <c r="Q151" t="s">
        <v>113</v>
      </c>
      <c r="R151" t="s">
        <v>50</v>
      </c>
      <c r="S151" t="s">
        <v>51</v>
      </c>
      <c r="T151" t="s">
        <v>71</v>
      </c>
      <c r="U151" t="s">
        <v>155</v>
      </c>
      <c r="V151" t="s">
        <v>54</v>
      </c>
      <c r="W151" t="s">
        <v>41</v>
      </c>
      <c r="X151" t="s">
        <v>73</v>
      </c>
      <c r="Y151" t="s">
        <v>56</v>
      </c>
      <c r="Z151" t="s">
        <v>57</v>
      </c>
      <c r="AA151" t="s">
        <v>121</v>
      </c>
      <c r="AB151">
        <v>0</v>
      </c>
      <c r="AC151">
        <v>0</v>
      </c>
      <c r="AD151">
        <v>1</v>
      </c>
      <c r="AE151">
        <v>40.159999999999997</v>
      </c>
      <c r="AF151">
        <v>0</v>
      </c>
      <c r="AG151">
        <v>2.81</v>
      </c>
      <c r="AH151">
        <v>3.93</v>
      </c>
      <c r="AI151">
        <v>46.9</v>
      </c>
      <c r="AJ151">
        <v>17.22</v>
      </c>
      <c r="AK151">
        <v>25.75</v>
      </c>
      <c r="AL151">
        <v>54.9</v>
      </c>
      <c r="AM151">
        <v>5246.73</v>
      </c>
      <c r="AN151" t="b">
        <v>1</v>
      </c>
      <c r="AO151">
        <v>6</v>
      </c>
    </row>
    <row r="152" spans="1:41" x14ac:dyDescent="0.35">
      <c r="A152" t="s">
        <v>825</v>
      </c>
      <c r="B152" s="1">
        <v>45027</v>
      </c>
      <c r="C152" s="2">
        <v>0.84667824074074072</v>
      </c>
      <c r="D152" t="s">
        <v>41</v>
      </c>
      <c r="E152" t="s">
        <v>42</v>
      </c>
      <c r="F152" t="s">
        <v>826</v>
      </c>
      <c r="G152" t="s">
        <v>827</v>
      </c>
      <c r="H152">
        <v>69</v>
      </c>
      <c r="I152" t="s">
        <v>78</v>
      </c>
      <c r="J152" t="s">
        <v>88</v>
      </c>
      <c r="K152" t="s">
        <v>45</v>
      </c>
      <c r="L152" t="s">
        <v>828</v>
      </c>
      <c r="M152" t="s">
        <v>160</v>
      </c>
      <c r="N152" t="s">
        <v>123</v>
      </c>
      <c r="O152" t="s">
        <v>118</v>
      </c>
      <c r="P152">
        <v>97532</v>
      </c>
      <c r="Q152" t="s">
        <v>81</v>
      </c>
      <c r="R152" t="s">
        <v>50</v>
      </c>
      <c r="S152" t="s">
        <v>124</v>
      </c>
      <c r="T152" t="s">
        <v>71</v>
      </c>
      <c r="U152" t="s">
        <v>243</v>
      </c>
      <c r="V152" t="s">
        <v>54</v>
      </c>
      <c r="W152" t="s">
        <v>41</v>
      </c>
      <c r="X152" t="s">
        <v>98</v>
      </c>
      <c r="Y152" t="s">
        <v>56</v>
      </c>
      <c r="Z152" t="s">
        <v>57</v>
      </c>
      <c r="AA152" t="s">
        <v>222</v>
      </c>
      <c r="AB152">
        <v>0</v>
      </c>
      <c r="AC152">
        <v>0</v>
      </c>
      <c r="AD152">
        <v>11</v>
      </c>
      <c r="AE152">
        <v>2391.2399999999998</v>
      </c>
      <c r="AF152">
        <v>0</v>
      </c>
      <c r="AG152">
        <v>478.24</v>
      </c>
      <c r="AH152">
        <v>30.59</v>
      </c>
      <c r="AI152">
        <v>2900.07</v>
      </c>
      <c r="AJ152">
        <v>1365.08</v>
      </c>
      <c r="AK152">
        <v>1504.4</v>
      </c>
      <c r="AL152">
        <v>51.87</v>
      </c>
      <c r="AM152">
        <v>8692.07</v>
      </c>
      <c r="AN152" t="b">
        <v>1</v>
      </c>
      <c r="AO152">
        <v>4</v>
      </c>
    </row>
    <row r="153" spans="1:41" x14ac:dyDescent="0.35">
      <c r="A153" t="s">
        <v>829</v>
      </c>
      <c r="B153" s="1">
        <v>45170</v>
      </c>
      <c r="C153" s="2">
        <v>0.88025462962962964</v>
      </c>
      <c r="D153" t="s">
        <v>41</v>
      </c>
      <c r="E153" t="s">
        <v>42</v>
      </c>
      <c r="F153" t="s">
        <v>830</v>
      </c>
      <c r="G153" t="s">
        <v>831</v>
      </c>
      <c r="H153">
        <v>42</v>
      </c>
      <c r="I153" t="s">
        <v>78</v>
      </c>
      <c r="J153" t="s">
        <v>88</v>
      </c>
      <c r="K153" t="s">
        <v>45</v>
      </c>
      <c r="L153" t="s">
        <v>832</v>
      </c>
      <c r="M153" t="s">
        <v>130</v>
      </c>
      <c r="N153" t="s">
        <v>47</v>
      </c>
      <c r="O153" t="s">
        <v>70</v>
      </c>
      <c r="P153">
        <v>58459</v>
      </c>
      <c r="Q153" t="s">
        <v>113</v>
      </c>
      <c r="R153" t="s">
        <v>50</v>
      </c>
      <c r="S153" t="s">
        <v>51</v>
      </c>
      <c r="T153" t="s">
        <v>52</v>
      </c>
      <c r="U153" t="s">
        <v>114</v>
      </c>
      <c r="V153" t="s">
        <v>54</v>
      </c>
      <c r="W153" t="s">
        <v>41</v>
      </c>
      <c r="X153" t="s">
        <v>55</v>
      </c>
      <c r="Y153" t="s">
        <v>93</v>
      </c>
      <c r="Z153" t="s">
        <v>94</v>
      </c>
      <c r="AA153" t="s">
        <v>162</v>
      </c>
      <c r="AB153">
        <v>0</v>
      </c>
      <c r="AC153">
        <v>0</v>
      </c>
      <c r="AD153">
        <v>6</v>
      </c>
      <c r="AE153">
        <v>1525.69</v>
      </c>
      <c r="AF153">
        <v>0</v>
      </c>
      <c r="AG153">
        <v>106.8</v>
      </c>
      <c r="AH153">
        <v>35.89</v>
      </c>
      <c r="AI153">
        <v>1668.38</v>
      </c>
      <c r="AJ153">
        <v>591.99</v>
      </c>
      <c r="AK153">
        <v>1040.5</v>
      </c>
      <c r="AL153">
        <v>62.37</v>
      </c>
      <c r="AM153">
        <v>3947.85</v>
      </c>
      <c r="AN153" t="b">
        <v>1</v>
      </c>
      <c r="AO153">
        <v>6</v>
      </c>
    </row>
    <row r="154" spans="1:41" x14ac:dyDescent="0.35">
      <c r="A154" t="s">
        <v>833</v>
      </c>
      <c r="B154" s="1">
        <v>44784</v>
      </c>
      <c r="C154" s="2">
        <v>0.43855324074074076</v>
      </c>
      <c r="D154" t="s">
        <v>41</v>
      </c>
      <c r="E154" t="s">
        <v>42</v>
      </c>
      <c r="F154" t="s">
        <v>834</v>
      </c>
      <c r="G154" t="s">
        <v>835</v>
      </c>
      <c r="H154">
        <v>29</v>
      </c>
      <c r="I154" t="s">
        <v>43</v>
      </c>
      <c r="J154" t="s">
        <v>88</v>
      </c>
      <c r="K154" t="s">
        <v>45</v>
      </c>
      <c r="L154" t="s">
        <v>836</v>
      </c>
      <c r="M154" t="s">
        <v>122</v>
      </c>
      <c r="N154" t="s">
        <v>123</v>
      </c>
      <c r="O154" t="s">
        <v>80</v>
      </c>
      <c r="P154">
        <v>6819</v>
      </c>
      <c r="Q154" t="s">
        <v>137</v>
      </c>
      <c r="R154" t="s">
        <v>50</v>
      </c>
      <c r="S154" t="s">
        <v>124</v>
      </c>
      <c r="T154" t="s">
        <v>65</v>
      </c>
      <c r="U154" t="s">
        <v>143</v>
      </c>
      <c r="V154" t="s">
        <v>54</v>
      </c>
      <c r="W154" t="s">
        <v>41</v>
      </c>
      <c r="X154" t="s">
        <v>156</v>
      </c>
      <c r="Y154" t="s">
        <v>99</v>
      </c>
      <c r="Z154" t="s">
        <v>57</v>
      </c>
      <c r="AA154" t="s">
        <v>247</v>
      </c>
      <c r="AB154">
        <v>0</v>
      </c>
      <c r="AC154">
        <v>0</v>
      </c>
      <c r="AD154">
        <v>8</v>
      </c>
      <c r="AE154">
        <v>2315.4699999999998</v>
      </c>
      <c r="AF154">
        <v>0</v>
      </c>
      <c r="AG154">
        <v>463.09</v>
      </c>
      <c r="AH154">
        <v>26.92</v>
      </c>
      <c r="AI154">
        <v>2805.48</v>
      </c>
      <c r="AJ154">
        <v>1145.44</v>
      </c>
      <c r="AK154">
        <v>1633.12</v>
      </c>
      <c r="AL154">
        <v>58.21</v>
      </c>
      <c r="AM154">
        <v>6631.09</v>
      </c>
      <c r="AN154" t="b">
        <v>1</v>
      </c>
      <c r="AO154">
        <v>6</v>
      </c>
    </row>
    <row r="155" spans="1:41" x14ac:dyDescent="0.35">
      <c r="A155" t="s">
        <v>837</v>
      </c>
      <c r="B155" s="1">
        <v>45202</v>
      </c>
      <c r="C155" s="2">
        <v>0.17702546296296295</v>
      </c>
      <c r="D155" t="s">
        <v>41</v>
      </c>
      <c r="E155" t="s">
        <v>77</v>
      </c>
      <c r="F155" t="s">
        <v>838</v>
      </c>
      <c r="G155" t="s">
        <v>839</v>
      </c>
      <c r="H155">
        <v>28</v>
      </c>
      <c r="I155" t="s">
        <v>43</v>
      </c>
      <c r="J155" t="s">
        <v>88</v>
      </c>
      <c r="K155" t="s">
        <v>45</v>
      </c>
      <c r="L155" t="s">
        <v>840</v>
      </c>
      <c r="M155" t="s">
        <v>148</v>
      </c>
      <c r="N155" t="s">
        <v>47</v>
      </c>
      <c r="O155" t="s">
        <v>70</v>
      </c>
      <c r="P155">
        <v>82806</v>
      </c>
      <c r="Q155" t="s">
        <v>81</v>
      </c>
      <c r="R155" t="s">
        <v>50</v>
      </c>
      <c r="S155" t="s">
        <v>51</v>
      </c>
      <c r="T155" t="s">
        <v>52</v>
      </c>
      <c r="U155" t="s">
        <v>92</v>
      </c>
      <c r="V155" t="s">
        <v>54</v>
      </c>
      <c r="W155" t="s">
        <v>41</v>
      </c>
      <c r="X155" t="s">
        <v>176</v>
      </c>
      <c r="Y155" t="s">
        <v>85</v>
      </c>
      <c r="Z155" t="s">
        <v>161</v>
      </c>
      <c r="AA155" t="s">
        <v>416</v>
      </c>
      <c r="AB155">
        <v>0</v>
      </c>
      <c r="AC155">
        <v>0</v>
      </c>
      <c r="AD155">
        <v>5</v>
      </c>
      <c r="AE155">
        <v>1879.09</v>
      </c>
      <c r="AF155">
        <v>0</v>
      </c>
      <c r="AG155">
        <v>131.53</v>
      </c>
      <c r="AH155">
        <v>49.64</v>
      </c>
      <c r="AI155">
        <v>2060.2600000000002</v>
      </c>
      <c r="AJ155">
        <v>1080.2</v>
      </c>
      <c r="AK155">
        <v>930.42</v>
      </c>
      <c r="AL155">
        <v>45.16</v>
      </c>
      <c r="AM155">
        <v>7728.76</v>
      </c>
      <c r="AN155" t="b">
        <v>1</v>
      </c>
      <c r="AO155">
        <v>5</v>
      </c>
    </row>
    <row r="156" spans="1:41" x14ac:dyDescent="0.35">
      <c r="A156" t="s">
        <v>841</v>
      </c>
      <c r="B156" s="1">
        <v>44845</v>
      </c>
      <c r="C156" s="2">
        <v>0.62896990740740744</v>
      </c>
      <c r="D156" t="s">
        <v>41</v>
      </c>
      <c r="E156" t="s">
        <v>42</v>
      </c>
      <c r="F156" t="s">
        <v>842</v>
      </c>
      <c r="G156" t="s">
        <v>843</v>
      </c>
      <c r="H156">
        <v>71</v>
      </c>
      <c r="I156" t="s">
        <v>43</v>
      </c>
      <c r="J156" t="s">
        <v>44</v>
      </c>
      <c r="K156" t="s">
        <v>152</v>
      </c>
      <c r="L156" t="s">
        <v>844</v>
      </c>
      <c r="M156" t="s">
        <v>204</v>
      </c>
      <c r="N156" t="s">
        <v>123</v>
      </c>
      <c r="O156" t="s">
        <v>80</v>
      </c>
      <c r="P156">
        <v>4635</v>
      </c>
      <c r="Q156" t="s">
        <v>113</v>
      </c>
      <c r="R156" t="s">
        <v>50</v>
      </c>
      <c r="S156" t="s">
        <v>124</v>
      </c>
      <c r="T156" t="s">
        <v>52</v>
      </c>
      <c r="U156" t="s">
        <v>120</v>
      </c>
      <c r="V156" t="s">
        <v>54</v>
      </c>
      <c r="W156" t="s">
        <v>41</v>
      </c>
      <c r="X156" t="s">
        <v>261</v>
      </c>
      <c r="Y156" t="s">
        <v>108</v>
      </c>
      <c r="Z156" t="s">
        <v>157</v>
      </c>
      <c r="AA156" t="s">
        <v>115</v>
      </c>
      <c r="AB156">
        <v>0</v>
      </c>
      <c r="AC156">
        <v>0</v>
      </c>
      <c r="AD156">
        <v>2</v>
      </c>
      <c r="AE156">
        <v>206.57</v>
      </c>
      <c r="AF156">
        <v>0</v>
      </c>
      <c r="AG156">
        <v>41.32</v>
      </c>
      <c r="AH156">
        <v>2</v>
      </c>
      <c r="AI156">
        <v>249.89</v>
      </c>
      <c r="AJ156">
        <v>85.11</v>
      </c>
      <c r="AK156">
        <v>162.78</v>
      </c>
      <c r="AL156">
        <v>65.14</v>
      </c>
      <c r="AM156">
        <v>1135.07</v>
      </c>
      <c r="AN156" t="b">
        <v>1</v>
      </c>
      <c r="AO156">
        <v>2</v>
      </c>
    </row>
    <row r="157" spans="1:41" x14ac:dyDescent="0.35">
      <c r="A157" t="s">
        <v>845</v>
      </c>
      <c r="B157" s="1">
        <v>45239</v>
      </c>
      <c r="C157" s="2">
        <v>0.99984953703703705</v>
      </c>
      <c r="D157" t="s">
        <v>41</v>
      </c>
      <c r="E157" t="s">
        <v>77</v>
      </c>
      <c r="F157" t="s">
        <v>846</v>
      </c>
      <c r="G157" t="s">
        <v>847</v>
      </c>
      <c r="H157">
        <v>52</v>
      </c>
      <c r="I157" t="s">
        <v>78</v>
      </c>
      <c r="J157" t="s">
        <v>88</v>
      </c>
      <c r="K157" t="s">
        <v>45</v>
      </c>
      <c r="L157" t="s">
        <v>848</v>
      </c>
      <c r="M157" t="s">
        <v>79</v>
      </c>
      <c r="N157" t="s">
        <v>47</v>
      </c>
      <c r="O157" t="s">
        <v>80</v>
      </c>
      <c r="P157">
        <v>8512</v>
      </c>
      <c r="Q157" t="s">
        <v>113</v>
      </c>
      <c r="R157" t="s">
        <v>50</v>
      </c>
      <c r="S157" t="s">
        <v>51</v>
      </c>
      <c r="T157" t="s">
        <v>52</v>
      </c>
      <c r="U157" t="s">
        <v>120</v>
      </c>
      <c r="V157" t="s">
        <v>54</v>
      </c>
      <c r="W157" t="s">
        <v>41</v>
      </c>
      <c r="X157" t="s">
        <v>172</v>
      </c>
      <c r="Y157" t="s">
        <v>99</v>
      </c>
      <c r="Z157" t="s">
        <v>57</v>
      </c>
      <c r="AA157" t="s">
        <v>246</v>
      </c>
      <c r="AB157">
        <v>0</v>
      </c>
      <c r="AC157">
        <v>0</v>
      </c>
      <c r="AD157">
        <v>1</v>
      </c>
      <c r="AE157">
        <v>253.01</v>
      </c>
      <c r="AF157">
        <v>0</v>
      </c>
      <c r="AG157">
        <v>17.71</v>
      </c>
      <c r="AH157">
        <v>6.17</v>
      </c>
      <c r="AI157">
        <v>276.89</v>
      </c>
      <c r="AJ157">
        <v>156.41</v>
      </c>
      <c r="AK157">
        <v>114.31</v>
      </c>
      <c r="AL157">
        <v>41.28</v>
      </c>
      <c r="AM157">
        <v>3600.94</v>
      </c>
      <c r="AN157" t="b">
        <v>1</v>
      </c>
      <c r="AO157">
        <v>4</v>
      </c>
    </row>
    <row r="158" spans="1:41" x14ac:dyDescent="0.35">
      <c r="A158" t="s">
        <v>849</v>
      </c>
      <c r="B158" s="1">
        <v>45689</v>
      </c>
      <c r="C158" s="2">
        <v>3.7766203703703705E-2</v>
      </c>
      <c r="D158" t="s">
        <v>41</v>
      </c>
      <c r="E158" t="s">
        <v>42</v>
      </c>
      <c r="F158" t="s">
        <v>850</v>
      </c>
      <c r="G158" t="s">
        <v>851</v>
      </c>
      <c r="H158">
        <v>64</v>
      </c>
      <c r="I158" t="s">
        <v>78</v>
      </c>
      <c r="J158" t="s">
        <v>68</v>
      </c>
      <c r="K158" t="s">
        <v>45</v>
      </c>
      <c r="L158" t="s">
        <v>852</v>
      </c>
      <c r="M158" t="s">
        <v>142</v>
      </c>
      <c r="N158" t="s">
        <v>47</v>
      </c>
      <c r="O158" t="s">
        <v>70</v>
      </c>
      <c r="P158">
        <v>75359</v>
      </c>
      <c r="Q158" t="s">
        <v>113</v>
      </c>
      <c r="R158" t="s">
        <v>50</v>
      </c>
      <c r="S158" t="s">
        <v>51</v>
      </c>
      <c r="T158" t="s">
        <v>82</v>
      </c>
      <c r="U158" t="s">
        <v>221</v>
      </c>
      <c r="V158" t="s">
        <v>54</v>
      </c>
      <c r="W158" t="s">
        <v>41</v>
      </c>
      <c r="X158" t="s">
        <v>172</v>
      </c>
      <c r="Y158" t="s">
        <v>212</v>
      </c>
      <c r="Z158" t="s">
        <v>228</v>
      </c>
      <c r="AA158" t="s">
        <v>159</v>
      </c>
      <c r="AB158">
        <v>0</v>
      </c>
      <c r="AC158">
        <v>0</v>
      </c>
      <c r="AD158">
        <v>4</v>
      </c>
      <c r="AE158">
        <v>1551.54</v>
      </c>
      <c r="AF158">
        <v>0</v>
      </c>
      <c r="AG158">
        <v>108.61</v>
      </c>
      <c r="AH158">
        <v>33.04</v>
      </c>
      <c r="AI158">
        <v>1693.19</v>
      </c>
      <c r="AJ158">
        <v>757</v>
      </c>
      <c r="AK158">
        <v>903.15</v>
      </c>
      <c r="AL158">
        <v>53.34</v>
      </c>
      <c r="AM158">
        <v>8392.7000000000007</v>
      </c>
      <c r="AN158" t="b">
        <v>1</v>
      </c>
      <c r="AO158">
        <v>7</v>
      </c>
    </row>
    <row r="159" spans="1:41" x14ac:dyDescent="0.35">
      <c r="A159" t="s">
        <v>853</v>
      </c>
      <c r="B159" s="1">
        <v>44692</v>
      </c>
      <c r="C159" s="2">
        <v>0.924224537037037</v>
      </c>
      <c r="D159" t="s">
        <v>41</v>
      </c>
      <c r="E159" t="s">
        <v>111</v>
      </c>
      <c r="F159" t="s">
        <v>854</v>
      </c>
      <c r="G159" t="s">
        <v>855</v>
      </c>
      <c r="H159">
        <v>67</v>
      </c>
      <c r="I159" t="s">
        <v>78</v>
      </c>
      <c r="J159" t="s">
        <v>88</v>
      </c>
      <c r="K159" t="s">
        <v>45</v>
      </c>
      <c r="L159" t="s">
        <v>856</v>
      </c>
      <c r="M159" t="s">
        <v>204</v>
      </c>
      <c r="N159" t="s">
        <v>123</v>
      </c>
      <c r="O159" t="s">
        <v>80</v>
      </c>
      <c r="P159">
        <v>41554</v>
      </c>
      <c r="Q159" t="s">
        <v>96</v>
      </c>
      <c r="R159" t="s">
        <v>50</v>
      </c>
      <c r="S159" t="s">
        <v>124</v>
      </c>
      <c r="T159" t="s">
        <v>52</v>
      </c>
      <c r="U159" t="s">
        <v>72</v>
      </c>
      <c r="V159" t="s">
        <v>54</v>
      </c>
      <c r="W159" t="s">
        <v>41</v>
      </c>
      <c r="X159" t="s">
        <v>261</v>
      </c>
      <c r="Y159" t="s">
        <v>212</v>
      </c>
      <c r="Z159" t="s">
        <v>213</v>
      </c>
      <c r="AA159" t="s">
        <v>178</v>
      </c>
      <c r="AB159">
        <v>0</v>
      </c>
      <c r="AC159">
        <v>0</v>
      </c>
      <c r="AD159">
        <v>2</v>
      </c>
      <c r="AE159">
        <v>861.82</v>
      </c>
      <c r="AF159">
        <v>0</v>
      </c>
      <c r="AG159">
        <v>172.36</v>
      </c>
      <c r="AH159">
        <v>10.49</v>
      </c>
      <c r="AI159">
        <v>1044.67</v>
      </c>
      <c r="AJ159">
        <v>431.37</v>
      </c>
      <c r="AK159">
        <v>602.80999999999995</v>
      </c>
      <c r="AL159">
        <v>57.7</v>
      </c>
      <c r="AM159">
        <v>6987.67</v>
      </c>
      <c r="AN159" t="b">
        <v>1</v>
      </c>
      <c r="AO159">
        <v>7</v>
      </c>
    </row>
    <row r="160" spans="1:41" x14ac:dyDescent="0.35">
      <c r="A160" t="s">
        <v>857</v>
      </c>
      <c r="B160" s="1">
        <v>45759</v>
      </c>
      <c r="C160" s="2">
        <v>0.63325231481481481</v>
      </c>
      <c r="D160" t="s">
        <v>41</v>
      </c>
      <c r="E160" t="s">
        <v>111</v>
      </c>
      <c r="F160" t="s">
        <v>858</v>
      </c>
      <c r="G160" t="s">
        <v>859</v>
      </c>
      <c r="H160">
        <v>36</v>
      </c>
      <c r="I160" t="s">
        <v>43</v>
      </c>
      <c r="J160" t="s">
        <v>88</v>
      </c>
      <c r="K160" t="s">
        <v>45</v>
      </c>
      <c r="L160" t="s">
        <v>860</v>
      </c>
      <c r="M160" t="s">
        <v>89</v>
      </c>
      <c r="N160" t="s">
        <v>90</v>
      </c>
      <c r="O160" t="s">
        <v>48</v>
      </c>
      <c r="P160">
        <v>54112</v>
      </c>
      <c r="Q160" t="s">
        <v>107</v>
      </c>
      <c r="R160" t="s">
        <v>50</v>
      </c>
      <c r="S160" t="s">
        <v>91</v>
      </c>
      <c r="T160" t="s">
        <v>52</v>
      </c>
      <c r="U160" t="s">
        <v>175</v>
      </c>
      <c r="V160" t="s">
        <v>54</v>
      </c>
      <c r="W160" t="s">
        <v>41</v>
      </c>
      <c r="X160" t="s">
        <v>84</v>
      </c>
      <c r="Y160" t="s">
        <v>212</v>
      </c>
      <c r="Z160" t="s">
        <v>304</v>
      </c>
      <c r="AA160" t="s">
        <v>167</v>
      </c>
      <c r="AB160">
        <v>0</v>
      </c>
      <c r="AC160">
        <v>0</v>
      </c>
      <c r="AD160">
        <v>5</v>
      </c>
      <c r="AE160">
        <v>259.87</v>
      </c>
      <c r="AF160">
        <v>0</v>
      </c>
      <c r="AG160">
        <v>33.78</v>
      </c>
      <c r="AH160">
        <v>13.95</v>
      </c>
      <c r="AI160">
        <v>307.60000000000002</v>
      </c>
      <c r="AJ160">
        <v>119.71</v>
      </c>
      <c r="AK160">
        <v>173.94</v>
      </c>
      <c r="AL160">
        <v>56.55</v>
      </c>
      <c r="AM160">
        <v>13656.14</v>
      </c>
      <c r="AN160" t="b">
        <v>1</v>
      </c>
      <c r="AO160">
        <v>8</v>
      </c>
    </row>
    <row r="161" spans="1:41" x14ac:dyDescent="0.35">
      <c r="A161" t="s">
        <v>861</v>
      </c>
      <c r="B161" s="1">
        <v>44662</v>
      </c>
      <c r="C161" s="2">
        <v>0.46280092592592592</v>
      </c>
      <c r="D161" t="s">
        <v>41</v>
      </c>
      <c r="E161" t="s">
        <v>42</v>
      </c>
      <c r="F161" t="s">
        <v>862</v>
      </c>
      <c r="G161" t="s">
        <v>863</v>
      </c>
      <c r="H161">
        <v>53</v>
      </c>
      <c r="I161" t="s">
        <v>43</v>
      </c>
      <c r="J161" t="s">
        <v>88</v>
      </c>
      <c r="K161" t="s">
        <v>45</v>
      </c>
      <c r="L161" t="s">
        <v>864</v>
      </c>
      <c r="M161" t="s">
        <v>61</v>
      </c>
      <c r="N161" t="s">
        <v>62</v>
      </c>
      <c r="O161" t="s">
        <v>48</v>
      </c>
      <c r="P161">
        <v>37364</v>
      </c>
      <c r="Q161" t="s">
        <v>107</v>
      </c>
      <c r="R161" t="s">
        <v>50</v>
      </c>
      <c r="S161" t="s">
        <v>64</v>
      </c>
      <c r="T161" t="s">
        <v>52</v>
      </c>
      <c r="U161" t="s">
        <v>92</v>
      </c>
      <c r="V161" t="s">
        <v>54</v>
      </c>
      <c r="W161" t="s">
        <v>41</v>
      </c>
      <c r="X161" t="s">
        <v>176</v>
      </c>
      <c r="Y161" t="s">
        <v>99</v>
      </c>
      <c r="Z161" t="s">
        <v>57</v>
      </c>
      <c r="AA161" t="s">
        <v>162</v>
      </c>
      <c r="AB161">
        <v>0</v>
      </c>
      <c r="AC161">
        <v>0</v>
      </c>
      <c r="AD161">
        <v>2</v>
      </c>
      <c r="AE161">
        <v>855.46</v>
      </c>
      <c r="AF161">
        <v>0</v>
      </c>
      <c r="AG161">
        <v>162.54</v>
      </c>
      <c r="AH161">
        <v>5.1100000000000003</v>
      </c>
      <c r="AI161">
        <v>1023.11</v>
      </c>
      <c r="AJ161">
        <v>410</v>
      </c>
      <c r="AK161">
        <v>608</v>
      </c>
      <c r="AL161">
        <v>59.43</v>
      </c>
      <c r="AM161">
        <v>6677.39</v>
      </c>
      <c r="AN161" t="b">
        <v>1</v>
      </c>
      <c r="AO161">
        <v>6</v>
      </c>
    </row>
    <row r="162" spans="1:41" x14ac:dyDescent="0.35">
      <c r="A162" t="s">
        <v>865</v>
      </c>
      <c r="B162" s="1">
        <v>44238</v>
      </c>
      <c r="C162" s="2">
        <v>0.94655092592592593</v>
      </c>
      <c r="D162" t="s">
        <v>41</v>
      </c>
      <c r="E162" t="s">
        <v>111</v>
      </c>
      <c r="F162" t="s">
        <v>866</v>
      </c>
      <c r="G162" t="s">
        <v>867</v>
      </c>
      <c r="H162">
        <v>36</v>
      </c>
      <c r="I162" t="s">
        <v>78</v>
      </c>
      <c r="J162" t="s">
        <v>60</v>
      </c>
      <c r="K162" t="s">
        <v>45</v>
      </c>
      <c r="L162" t="s">
        <v>868</v>
      </c>
      <c r="M162" t="s">
        <v>148</v>
      </c>
      <c r="N162" t="s">
        <v>47</v>
      </c>
      <c r="O162" t="s">
        <v>70</v>
      </c>
      <c r="P162">
        <v>22512</v>
      </c>
      <c r="Q162" t="s">
        <v>137</v>
      </c>
      <c r="R162" t="s">
        <v>50</v>
      </c>
      <c r="S162" t="s">
        <v>51</v>
      </c>
      <c r="T162" t="s">
        <v>52</v>
      </c>
      <c r="U162" t="s">
        <v>175</v>
      </c>
      <c r="V162" t="s">
        <v>54</v>
      </c>
      <c r="W162" t="s">
        <v>41</v>
      </c>
      <c r="X162" t="s">
        <v>176</v>
      </c>
      <c r="Y162" t="s">
        <v>255</v>
      </c>
      <c r="Z162" t="s">
        <v>57</v>
      </c>
      <c r="AA162" t="s">
        <v>144</v>
      </c>
      <c r="AB162">
        <v>0</v>
      </c>
      <c r="AC162">
        <v>0</v>
      </c>
      <c r="AD162">
        <v>1</v>
      </c>
      <c r="AE162">
        <v>306.37</v>
      </c>
      <c r="AF162">
        <v>0</v>
      </c>
      <c r="AG162">
        <v>21.45</v>
      </c>
      <c r="AH162">
        <v>5.77</v>
      </c>
      <c r="AI162">
        <v>333.59</v>
      </c>
      <c r="AJ162">
        <v>191.09</v>
      </c>
      <c r="AK162">
        <v>136.72999999999999</v>
      </c>
      <c r="AL162">
        <v>40.99</v>
      </c>
      <c r="AM162">
        <v>3866.18</v>
      </c>
      <c r="AN162" t="b">
        <v>1</v>
      </c>
      <c r="AO162">
        <v>5</v>
      </c>
    </row>
    <row r="163" spans="1:41" x14ac:dyDescent="0.35">
      <c r="A163" t="s">
        <v>869</v>
      </c>
      <c r="B163" s="1">
        <v>45332</v>
      </c>
      <c r="C163" s="2">
        <v>0.46358796296296295</v>
      </c>
      <c r="D163" t="s">
        <v>41</v>
      </c>
      <c r="E163" t="s">
        <v>77</v>
      </c>
      <c r="F163" t="s">
        <v>870</v>
      </c>
      <c r="G163" t="s">
        <v>871</v>
      </c>
      <c r="H163">
        <v>43</v>
      </c>
      <c r="I163" t="s">
        <v>78</v>
      </c>
      <c r="J163" t="s">
        <v>68</v>
      </c>
      <c r="K163" t="s">
        <v>45</v>
      </c>
      <c r="L163" t="s">
        <v>872</v>
      </c>
      <c r="M163" t="s">
        <v>122</v>
      </c>
      <c r="N163" t="s">
        <v>123</v>
      </c>
      <c r="O163" t="s">
        <v>80</v>
      </c>
      <c r="P163">
        <v>54922</v>
      </c>
      <c r="Q163" t="s">
        <v>113</v>
      </c>
      <c r="R163" t="s">
        <v>50</v>
      </c>
      <c r="S163" t="s">
        <v>124</v>
      </c>
      <c r="T163" t="s">
        <v>52</v>
      </c>
      <c r="U163" t="s">
        <v>175</v>
      </c>
      <c r="V163" t="s">
        <v>54</v>
      </c>
      <c r="W163" t="s">
        <v>41</v>
      </c>
      <c r="X163" t="s">
        <v>55</v>
      </c>
      <c r="Y163" t="s">
        <v>85</v>
      </c>
      <c r="Z163" t="s">
        <v>86</v>
      </c>
      <c r="AA163" t="s">
        <v>283</v>
      </c>
      <c r="AB163">
        <v>0</v>
      </c>
      <c r="AC163">
        <v>0</v>
      </c>
      <c r="AD163">
        <v>10</v>
      </c>
      <c r="AE163">
        <v>837.55</v>
      </c>
      <c r="AF163">
        <v>0</v>
      </c>
      <c r="AG163">
        <v>167.51</v>
      </c>
      <c r="AH163">
        <v>14.7</v>
      </c>
      <c r="AI163">
        <v>1019.76</v>
      </c>
      <c r="AJ163">
        <v>303.98</v>
      </c>
      <c r="AK163">
        <v>701.08</v>
      </c>
      <c r="AL163">
        <v>68.75</v>
      </c>
      <c r="AM163">
        <v>4663.5600000000004</v>
      </c>
      <c r="AN163" t="b">
        <v>1</v>
      </c>
      <c r="AO163">
        <v>6</v>
      </c>
    </row>
    <row r="164" spans="1:41" x14ac:dyDescent="0.35">
      <c r="A164" t="s">
        <v>873</v>
      </c>
      <c r="B164" s="1">
        <v>45180</v>
      </c>
      <c r="C164" s="2">
        <v>0.91453703703703704</v>
      </c>
      <c r="D164" t="s">
        <v>41</v>
      </c>
      <c r="E164" t="s">
        <v>59</v>
      </c>
      <c r="F164" t="s">
        <v>874</v>
      </c>
      <c r="G164" t="s">
        <v>875</v>
      </c>
      <c r="H164">
        <v>19</v>
      </c>
      <c r="I164" t="s">
        <v>78</v>
      </c>
      <c r="J164" t="s">
        <v>44</v>
      </c>
      <c r="K164" t="s">
        <v>45</v>
      </c>
      <c r="L164" t="s">
        <v>876</v>
      </c>
      <c r="M164" t="s">
        <v>105</v>
      </c>
      <c r="N164" t="s">
        <v>47</v>
      </c>
      <c r="O164" t="s">
        <v>106</v>
      </c>
      <c r="P164">
        <v>71650</v>
      </c>
      <c r="Q164" t="s">
        <v>49</v>
      </c>
      <c r="R164" t="s">
        <v>50</v>
      </c>
      <c r="S164" t="s">
        <v>51</v>
      </c>
      <c r="T164" t="s">
        <v>82</v>
      </c>
      <c r="U164" t="s">
        <v>92</v>
      </c>
      <c r="V164" t="s">
        <v>54</v>
      </c>
      <c r="W164" t="s">
        <v>41</v>
      </c>
      <c r="X164" t="s">
        <v>176</v>
      </c>
      <c r="Y164" t="s">
        <v>85</v>
      </c>
      <c r="Z164" t="s">
        <v>146</v>
      </c>
      <c r="AA164" t="s">
        <v>283</v>
      </c>
      <c r="AB164">
        <v>0</v>
      </c>
      <c r="AC164">
        <v>0</v>
      </c>
      <c r="AD164">
        <v>6</v>
      </c>
      <c r="AE164">
        <v>1074.1400000000001</v>
      </c>
      <c r="AF164">
        <v>0</v>
      </c>
      <c r="AG164">
        <v>75.180000000000007</v>
      </c>
      <c r="AH164">
        <v>69.430000000000007</v>
      </c>
      <c r="AI164">
        <v>1218.75</v>
      </c>
      <c r="AJ164">
        <v>528.26</v>
      </c>
      <c r="AK164">
        <v>621.05999999999995</v>
      </c>
      <c r="AL164">
        <v>50.96</v>
      </c>
      <c r="AM164">
        <v>13683.19</v>
      </c>
      <c r="AN164" t="b">
        <v>1</v>
      </c>
      <c r="AO164">
        <v>10</v>
      </c>
    </row>
    <row r="165" spans="1:41" x14ac:dyDescent="0.35">
      <c r="A165" t="s">
        <v>877</v>
      </c>
      <c r="B165" s="1">
        <v>45601</v>
      </c>
      <c r="C165" s="2">
        <v>0.3467824074074074</v>
      </c>
      <c r="D165" t="s">
        <v>41</v>
      </c>
      <c r="E165" t="s">
        <v>77</v>
      </c>
      <c r="F165" t="s">
        <v>878</v>
      </c>
      <c r="G165" t="s">
        <v>879</v>
      </c>
      <c r="H165">
        <v>35</v>
      </c>
      <c r="I165" t="s">
        <v>78</v>
      </c>
      <c r="J165" t="s">
        <v>88</v>
      </c>
      <c r="K165" t="s">
        <v>45</v>
      </c>
      <c r="L165" t="s">
        <v>880</v>
      </c>
      <c r="M165" t="s">
        <v>130</v>
      </c>
      <c r="N165" t="s">
        <v>47</v>
      </c>
      <c r="O165" t="s">
        <v>70</v>
      </c>
      <c r="P165">
        <v>49971</v>
      </c>
      <c r="Q165" t="s">
        <v>137</v>
      </c>
      <c r="R165" t="s">
        <v>50</v>
      </c>
      <c r="S165" t="s">
        <v>51</v>
      </c>
      <c r="T165" t="s">
        <v>52</v>
      </c>
      <c r="U165" t="s">
        <v>66</v>
      </c>
      <c r="V165" t="s">
        <v>54</v>
      </c>
      <c r="W165" t="s">
        <v>41</v>
      </c>
      <c r="X165" t="s">
        <v>172</v>
      </c>
      <c r="Y165" t="s">
        <v>56</v>
      </c>
      <c r="Z165" t="s">
        <v>57</v>
      </c>
      <c r="AA165" t="s">
        <v>446</v>
      </c>
      <c r="AB165">
        <v>0</v>
      </c>
      <c r="AC165">
        <v>0</v>
      </c>
      <c r="AD165">
        <v>2</v>
      </c>
      <c r="AE165">
        <v>699.26</v>
      </c>
      <c r="AF165">
        <v>0</v>
      </c>
      <c r="AG165">
        <v>48.95</v>
      </c>
      <c r="AH165">
        <v>20.95</v>
      </c>
      <c r="AI165">
        <v>769.16</v>
      </c>
      <c r="AJ165">
        <v>302.41000000000003</v>
      </c>
      <c r="AK165">
        <v>445.8</v>
      </c>
      <c r="AL165">
        <v>57.96</v>
      </c>
      <c r="AM165">
        <v>17881.89</v>
      </c>
      <c r="AN165" t="b">
        <v>1</v>
      </c>
      <c r="AO165">
        <v>11</v>
      </c>
    </row>
    <row r="166" spans="1:41" x14ac:dyDescent="0.35">
      <c r="A166" t="s">
        <v>881</v>
      </c>
      <c r="B166" s="1">
        <v>45328</v>
      </c>
      <c r="C166" s="2">
        <v>0.32171296296296298</v>
      </c>
      <c r="D166" t="s">
        <v>41</v>
      </c>
      <c r="E166" t="s">
        <v>42</v>
      </c>
      <c r="F166" t="s">
        <v>882</v>
      </c>
      <c r="G166" t="s">
        <v>883</v>
      </c>
      <c r="H166">
        <v>30</v>
      </c>
      <c r="I166" t="s">
        <v>43</v>
      </c>
      <c r="J166" t="s">
        <v>88</v>
      </c>
      <c r="K166" t="s">
        <v>45</v>
      </c>
      <c r="L166" t="s">
        <v>884</v>
      </c>
      <c r="M166" t="s">
        <v>79</v>
      </c>
      <c r="N166" t="s">
        <v>47</v>
      </c>
      <c r="O166" t="s">
        <v>80</v>
      </c>
      <c r="P166">
        <v>56125</v>
      </c>
      <c r="Q166" t="s">
        <v>96</v>
      </c>
      <c r="R166" t="s">
        <v>50</v>
      </c>
      <c r="S166" t="s">
        <v>51</v>
      </c>
      <c r="T166" t="s">
        <v>82</v>
      </c>
      <c r="U166" t="s">
        <v>138</v>
      </c>
      <c r="V166" t="s">
        <v>54</v>
      </c>
      <c r="W166" t="s">
        <v>41</v>
      </c>
      <c r="X166" t="s">
        <v>55</v>
      </c>
      <c r="Y166" t="s">
        <v>56</v>
      </c>
      <c r="Z166" t="s">
        <v>57</v>
      </c>
      <c r="AA166" t="s">
        <v>446</v>
      </c>
      <c r="AB166">
        <v>0</v>
      </c>
      <c r="AC166">
        <v>0</v>
      </c>
      <c r="AD166">
        <v>5</v>
      </c>
      <c r="AE166">
        <v>1347.05</v>
      </c>
      <c r="AF166">
        <v>0</v>
      </c>
      <c r="AG166">
        <v>94.3</v>
      </c>
      <c r="AH166">
        <v>33.97</v>
      </c>
      <c r="AI166">
        <v>1475.32</v>
      </c>
      <c r="AJ166">
        <v>783.92</v>
      </c>
      <c r="AK166">
        <v>657.43</v>
      </c>
      <c r="AL166">
        <v>44.56</v>
      </c>
      <c r="AM166">
        <v>11236.95</v>
      </c>
      <c r="AN166" t="b">
        <v>1</v>
      </c>
      <c r="AO166">
        <v>10</v>
      </c>
    </row>
    <row r="167" spans="1:41" x14ac:dyDescent="0.35">
      <c r="A167" t="s">
        <v>885</v>
      </c>
      <c r="B167" s="1">
        <v>45271</v>
      </c>
      <c r="C167" s="2">
        <v>0.2020949074074074</v>
      </c>
      <c r="D167" t="s">
        <v>41</v>
      </c>
      <c r="E167" t="s">
        <v>42</v>
      </c>
      <c r="F167" t="s">
        <v>886</v>
      </c>
      <c r="G167" t="s">
        <v>887</v>
      </c>
      <c r="H167">
        <v>56</v>
      </c>
      <c r="I167" t="s">
        <v>43</v>
      </c>
      <c r="J167" t="s">
        <v>60</v>
      </c>
      <c r="K167" t="s">
        <v>45</v>
      </c>
      <c r="L167" t="s">
        <v>888</v>
      </c>
      <c r="M167" t="s">
        <v>337</v>
      </c>
      <c r="N167" t="s">
        <v>338</v>
      </c>
      <c r="O167" t="s">
        <v>80</v>
      </c>
      <c r="P167">
        <v>42306</v>
      </c>
      <c r="Q167" t="s">
        <v>96</v>
      </c>
      <c r="R167" t="s">
        <v>50</v>
      </c>
      <c r="S167" t="s">
        <v>339</v>
      </c>
      <c r="T167" t="s">
        <v>82</v>
      </c>
      <c r="U167" t="s">
        <v>92</v>
      </c>
      <c r="V167" t="s">
        <v>54</v>
      </c>
      <c r="W167" t="s">
        <v>41</v>
      </c>
      <c r="X167" t="s">
        <v>156</v>
      </c>
      <c r="Y167" t="s">
        <v>99</v>
      </c>
      <c r="Z167" t="s">
        <v>57</v>
      </c>
      <c r="AA167" t="s">
        <v>203</v>
      </c>
      <c r="AB167">
        <v>0</v>
      </c>
      <c r="AC167">
        <v>0</v>
      </c>
      <c r="AD167">
        <v>6</v>
      </c>
      <c r="AE167">
        <v>1122.2</v>
      </c>
      <c r="AF167">
        <v>0</v>
      </c>
      <c r="AG167">
        <v>201.99</v>
      </c>
      <c r="AH167">
        <v>28.01</v>
      </c>
      <c r="AI167">
        <v>1352.2</v>
      </c>
      <c r="AJ167">
        <v>474.6</v>
      </c>
      <c r="AK167">
        <v>849.59</v>
      </c>
      <c r="AL167">
        <v>62.83</v>
      </c>
      <c r="AM167">
        <v>15384.71</v>
      </c>
      <c r="AN167" t="b">
        <v>1</v>
      </c>
      <c r="AO167">
        <v>9</v>
      </c>
    </row>
    <row r="168" spans="1:41" x14ac:dyDescent="0.35">
      <c r="A168" t="s">
        <v>889</v>
      </c>
      <c r="B168" s="1">
        <v>45904</v>
      </c>
      <c r="C168" s="2">
        <v>0.71944444444444444</v>
      </c>
      <c r="D168" t="s">
        <v>41</v>
      </c>
      <c r="E168" t="s">
        <v>42</v>
      </c>
      <c r="F168" t="s">
        <v>890</v>
      </c>
      <c r="G168" t="s">
        <v>891</v>
      </c>
      <c r="H168">
        <v>36</v>
      </c>
      <c r="I168" t="s">
        <v>43</v>
      </c>
      <c r="J168" t="s">
        <v>68</v>
      </c>
      <c r="K168" t="s">
        <v>45</v>
      </c>
      <c r="L168" t="s">
        <v>892</v>
      </c>
      <c r="M168" t="s">
        <v>105</v>
      </c>
      <c r="N168" t="s">
        <v>47</v>
      </c>
      <c r="O168" t="s">
        <v>106</v>
      </c>
      <c r="P168">
        <v>30545</v>
      </c>
      <c r="Q168" t="s">
        <v>63</v>
      </c>
      <c r="R168" t="s">
        <v>50</v>
      </c>
      <c r="S168" t="s">
        <v>51</v>
      </c>
      <c r="T168" t="s">
        <v>52</v>
      </c>
      <c r="U168" t="s">
        <v>53</v>
      </c>
      <c r="V168" t="s">
        <v>54</v>
      </c>
      <c r="W168" t="s">
        <v>41</v>
      </c>
      <c r="X168" t="s">
        <v>73</v>
      </c>
      <c r="Y168" t="s">
        <v>131</v>
      </c>
      <c r="Z168" t="s">
        <v>132</v>
      </c>
      <c r="AA168" t="s">
        <v>203</v>
      </c>
      <c r="AB168">
        <v>0</v>
      </c>
      <c r="AC168">
        <v>0</v>
      </c>
      <c r="AD168">
        <v>2</v>
      </c>
      <c r="AE168">
        <v>484.08</v>
      </c>
      <c r="AF168">
        <v>0</v>
      </c>
      <c r="AG168">
        <v>33.89</v>
      </c>
      <c r="AH168">
        <v>4.07</v>
      </c>
      <c r="AI168">
        <v>522.04</v>
      </c>
      <c r="AJ168">
        <v>196.73</v>
      </c>
      <c r="AK168">
        <v>321.24</v>
      </c>
      <c r="AL168">
        <v>61.54</v>
      </c>
      <c r="AM168">
        <v>11403</v>
      </c>
      <c r="AN168" t="b">
        <v>1</v>
      </c>
      <c r="AO168">
        <v>10</v>
      </c>
    </row>
    <row r="169" spans="1:41" x14ac:dyDescent="0.35">
      <c r="A169" t="s">
        <v>893</v>
      </c>
      <c r="B169" s="1">
        <v>45604</v>
      </c>
      <c r="C169" s="2">
        <v>0.46402777777777776</v>
      </c>
      <c r="D169" t="s">
        <v>41</v>
      </c>
      <c r="E169" t="s">
        <v>59</v>
      </c>
      <c r="F169" t="s">
        <v>894</v>
      </c>
      <c r="G169" t="s">
        <v>895</v>
      </c>
      <c r="H169">
        <v>21</v>
      </c>
      <c r="I169" t="s">
        <v>78</v>
      </c>
      <c r="J169" t="s">
        <v>68</v>
      </c>
      <c r="K169" t="s">
        <v>45</v>
      </c>
      <c r="L169" t="s">
        <v>896</v>
      </c>
      <c r="M169" t="s">
        <v>46</v>
      </c>
      <c r="N169" t="s">
        <v>47</v>
      </c>
      <c r="O169" t="s">
        <v>48</v>
      </c>
      <c r="P169">
        <v>78759</v>
      </c>
      <c r="Q169" t="s">
        <v>113</v>
      </c>
      <c r="R169" t="s">
        <v>50</v>
      </c>
      <c r="S169" t="s">
        <v>51</v>
      </c>
      <c r="T169" t="s">
        <v>52</v>
      </c>
      <c r="U169" t="s">
        <v>66</v>
      </c>
      <c r="V169" t="s">
        <v>54</v>
      </c>
      <c r="W169" t="s">
        <v>41</v>
      </c>
      <c r="X169" t="s">
        <v>261</v>
      </c>
      <c r="Y169" t="s">
        <v>108</v>
      </c>
      <c r="Z169" t="s">
        <v>157</v>
      </c>
      <c r="AA169" t="s">
        <v>309</v>
      </c>
      <c r="AB169">
        <v>0</v>
      </c>
      <c r="AC169">
        <v>0</v>
      </c>
      <c r="AD169">
        <v>9</v>
      </c>
      <c r="AE169">
        <v>2263.69</v>
      </c>
      <c r="AF169">
        <v>0</v>
      </c>
      <c r="AG169">
        <v>158.44999999999999</v>
      </c>
      <c r="AH169">
        <v>12.45</v>
      </c>
      <c r="AI169">
        <v>2434.59</v>
      </c>
      <c r="AJ169">
        <v>1073.75</v>
      </c>
      <c r="AK169">
        <v>1348.39</v>
      </c>
      <c r="AL169">
        <v>55.38</v>
      </c>
      <c r="AM169">
        <v>7714.58</v>
      </c>
      <c r="AN169" t="b">
        <v>1</v>
      </c>
      <c r="AO169">
        <v>8</v>
      </c>
    </row>
    <row r="170" spans="1:41" x14ac:dyDescent="0.35">
      <c r="A170" t="s">
        <v>897</v>
      </c>
      <c r="B170" s="1">
        <v>45086</v>
      </c>
      <c r="C170" s="2">
        <v>0.38553240740740741</v>
      </c>
      <c r="D170" t="s">
        <v>41</v>
      </c>
      <c r="E170" t="s">
        <v>77</v>
      </c>
      <c r="F170" t="s">
        <v>898</v>
      </c>
      <c r="G170" t="s">
        <v>899</v>
      </c>
      <c r="H170">
        <v>26</v>
      </c>
      <c r="I170" t="s">
        <v>43</v>
      </c>
      <c r="J170" t="s">
        <v>44</v>
      </c>
      <c r="K170" t="s">
        <v>45</v>
      </c>
      <c r="L170" t="s">
        <v>900</v>
      </c>
      <c r="M170" t="s">
        <v>193</v>
      </c>
      <c r="N170" t="s">
        <v>47</v>
      </c>
      <c r="O170" t="s">
        <v>106</v>
      </c>
      <c r="P170">
        <v>15814</v>
      </c>
      <c r="Q170" t="s">
        <v>113</v>
      </c>
      <c r="R170" t="s">
        <v>50</v>
      </c>
      <c r="S170" t="s">
        <v>51</v>
      </c>
      <c r="T170" t="s">
        <v>52</v>
      </c>
      <c r="U170" t="s">
        <v>221</v>
      </c>
      <c r="V170" t="s">
        <v>54</v>
      </c>
      <c r="W170" t="s">
        <v>41</v>
      </c>
      <c r="X170" t="s">
        <v>73</v>
      </c>
      <c r="Y170" t="s">
        <v>212</v>
      </c>
      <c r="Z170" t="s">
        <v>304</v>
      </c>
      <c r="AA170" t="s">
        <v>256</v>
      </c>
      <c r="AB170">
        <v>0</v>
      </c>
      <c r="AC170">
        <v>0</v>
      </c>
      <c r="AD170">
        <v>6</v>
      </c>
      <c r="AE170">
        <v>748.14</v>
      </c>
      <c r="AF170">
        <v>0</v>
      </c>
      <c r="AG170">
        <v>52.37</v>
      </c>
      <c r="AH170">
        <v>24.21</v>
      </c>
      <c r="AI170">
        <v>824.72</v>
      </c>
      <c r="AJ170">
        <v>243.66</v>
      </c>
      <c r="AK170">
        <v>556.85</v>
      </c>
      <c r="AL170">
        <v>67.52</v>
      </c>
      <c r="AM170">
        <v>4447.03</v>
      </c>
      <c r="AN170" t="b">
        <v>1</v>
      </c>
      <c r="AO170">
        <v>4</v>
      </c>
    </row>
    <row r="171" spans="1:41" x14ac:dyDescent="0.35">
      <c r="A171" t="s">
        <v>901</v>
      </c>
      <c r="B171" s="1">
        <v>45993</v>
      </c>
      <c r="C171" s="2">
        <v>0.65144675925925921</v>
      </c>
      <c r="D171" t="s">
        <v>41</v>
      </c>
      <c r="E171" t="s">
        <v>42</v>
      </c>
      <c r="F171" t="s">
        <v>902</v>
      </c>
      <c r="G171" t="s">
        <v>903</v>
      </c>
      <c r="H171">
        <v>63</v>
      </c>
      <c r="I171" t="s">
        <v>173</v>
      </c>
      <c r="J171" t="s">
        <v>68</v>
      </c>
      <c r="K171" t="s">
        <v>45</v>
      </c>
      <c r="L171" t="s">
        <v>904</v>
      </c>
      <c r="M171" t="s">
        <v>46</v>
      </c>
      <c r="N171" t="s">
        <v>47</v>
      </c>
      <c r="O171" t="s">
        <v>48</v>
      </c>
      <c r="P171">
        <v>24263</v>
      </c>
      <c r="Q171" t="s">
        <v>96</v>
      </c>
      <c r="R171" t="s">
        <v>50</v>
      </c>
      <c r="S171" t="s">
        <v>51</v>
      </c>
      <c r="T171" t="s">
        <v>65</v>
      </c>
      <c r="U171" t="s">
        <v>72</v>
      </c>
      <c r="V171" t="s">
        <v>54</v>
      </c>
      <c r="W171" t="s">
        <v>41</v>
      </c>
      <c r="X171" t="s">
        <v>261</v>
      </c>
      <c r="Y171" t="s">
        <v>56</v>
      </c>
      <c r="Z171" t="s">
        <v>57</v>
      </c>
      <c r="AA171" t="s">
        <v>115</v>
      </c>
      <c r="AB171">
        <v>0</v>
      </c>
      <c r="AC171">
        <v>0</v>
      </c>
      <c r="AD171">
        <v>1</v>
      </c>
      <c r="AE171">
        <v>12.75</v>
      </c>
      <c r="AF171">
        <v>0</v>
      </c>
      <c r="AG171">
        <v>0.89</v>
      </c>
      <c r="AH171">
        <v>11.67</v>
      </c>
      <c r="AI171">
        <v>25.31</v>
      </c>
      <c r="AJ171">
        <v>4.1399999999999997</v>
      </c>
      <c r="AK171">
        <v>9.5</v>
      </c>
      <c r="AL171">
        <v>37.53</v>
      </c>
      <c r="AM171">
        <v>14891.8</v>
      </c>
      <c r="AN171" t="b">
        <v>1</v>
      </c>
      <c r="AO171">
        <v>8</v>
      </c>
    </row>
    <row r="172" spans="1:41" x14ac:dyDescent="0.35">
      <c r="A172" t="s">
        <v>905</v>
      </c>
      <c r="B172" s="1">
        <v>44622</v>
      </c>
      <c r="C172" s="2">
        <v>0.60922453703703705</v>
      </c>
      <c r="D172" t="s">
        <v>41</v>
      </c>
      <c r="E172" t="s">
        <v>77</v>
      </c>
      <c r="F172" t="s">
        <v>906</v>
      </c>
      <c r="G172" t="s">
        <v>907</v>
      </c>
      <c r="H172">
        <v>62</v>
      </c>
      <c r="I172" t="s">
        <v>78</v>
      </c>
      <c r="J172" t="s">
        <v>44</v>
      </c>
      <c r="K172" t="s">
        <v>45</v>
      </c>
      <c r="L172" t="s">
        <v>908</v>
      </c>
      <c r="M172" t="s">
        <v>193</v>
      </c>
      <c r="N172" t="s">
        <v>47</v>
      </c>
      <c r="O172" t="s">
        <v>106</v>
      </c>
      <c r="P172">
        <v>57196</v>
      </c>
      <c r="Q172" t="s">
        <v>107</v>
      </c>
      <c r="R172" t="s">
        <v>50</v>
      </c>
      <c r="S172" t="s">
        <v>51</v>
      </c>
      <c r="T172" t="s">
        <v>82</v>
      </c>
      <c r="U172" t="s">
        <v>221</v>
      </c>
      <c r="V172" t="s">
        <v>54</v>
      </c>
      <c r="W172" t="s">
        <v>41</v>
      </c>
      <c r="X172" t="s">
        <v>84</v>
      </c>
      <c r="Y172" t="s">
        <v>56</v>
      </c>
      <c r="Z172" t="s">
        <v>57</v>
      </c>
      <c r="AA172" t="s">
        <v>192</v>
      </c>
      <c r="AB172">
        <v>0</v>
      </c>
      <c r="AC172">
        <v>0</v>
      </c>
      <c r="AD172">
        <v>5</v>
      </c>
      <c r="AE172">
        <v>469.7</v>
      </c>
      <c r="AF172">
        <v>0</v>
      </c>
      <c r="AG172">
        <v>32.880000000000003</v>
      </c>
      <c r="AH172">
        <v>24.44</v>
      </c>
      <c r="AI172">
        <v>527.02</v>
      </c>
      <c r="AJ172">
        <v>222.76</v>
      </c>
      <c r="AK172">
        <v>279.82</v>
      </c>
      <c r="AL172">
        <v>53.09</v>
      </c>
      <c r="AM172">
        <v>5106.6099999999997</v>
      </c>
      <c r="AN172" t="b">
        <v>1</v>
      </c>
      <c r="AO172">
        <v>6</v>
      </c>
    </row>
    <row r="173" spans="1:41" x14ac:dyDescent="0.35">
      <c r="A173" t="s">
        <v>909</v>
      </c>
      <c r="B173" s="1">
        <v>45666</v>
      </c>
      <c r="C173" s="2">
        <v>0.74501157407407403</v>
      </c>
      <c r="D173" t="s">
        <v>41</v>
      </c>
      <c r="E173" t="s">
        <v>42</v>
      </c>
      <c r="F173" t="s">
        <v>910</v>
      </c>
      <c r="G173" t="s">
        <v>911</v>
      </c>
      <c r="H173">
        <v>47</v>
      </c>
      <c r="I173" t="s">
        <v>78</v>
      </c>
      <c r="J173" t="s">
        <v>88</v>
      </c>
      <c r="K173" t="s">
        <v>45</v>
      </c>
      <c r="L173" t="s">
        <v>912</v>
      </c>
      <c r="M173" t="s">
        <v>61</v>
      </c>
      <c r="N173" t="s">
        <v>62</v>
      </c>
      <c r="O173" t="s">
        <v>48</v>
      </c>
      <c r="P173">
        <v>78650</v>
      </c>
      <c r="Q173" t="s">
        <v>96</v>
      </c>
      <c r="R173" t="s">
        <v>50</v>
      </c>
      <c r="S173" t="s">
        <v>64</v>
      </c>
      <c r="T173" t="s">
        <v>82</v>
      </c>
      <c r="U173" t="s">
        <v>243</v>
      </c>
      <c r="V173" t="s">
        <v>54</v>
      </c>
      <c r="W173" t="s">
        <v>41</v>
      </c>
      <c r="X173" t="s">
        <v>55</v>
      </c>
      <c r="Y173" t="s">
        <v>131</v>
      </c>
      <c r="Z173" t="s">
        <v>132</v>
      </c>
      <c r="AA173" t="s">
        <v>247</v>
      </c>
      <c r="AB173">
        <v>0</v>
      </c>
      <c r="AC173">
        <v>0</v>
      </c>
      <c r="AD173">
        <v>3</v>
      </c>
      <c r="AE173">
        <v>540.51</v>
      </c>
      <c r="AF173">
        <v>0</v>
      </c>
      <c r="AG173">
        <v>102.69</v>
      </c>
      <c r="AH173">
        <v>25.23</v>
      </c>
      <c r="AI173">
        <v>668.43</v>
      </c>
      <c r="AJ173">
        <v>303.44</v>
      </c>
      <c r="AK173">
        <v>339.76</v>
      </c>
      <c r="AL173">
        <v>50.83</v>
      </c>
      <c r="AM173">
        <v>10173.73</v>
      </c>
      <c r="AN173" t="b">
        <v>1</v>
      </c>
      <c r="AO173">
        <v>4</v>
      </c>
    </row>
    <row r="174" spans="1:41" x14ac:dyDescent="0.35">
      <c r="A174" t="s">
        <v>913</v>
      </c>
      <c r="B174" s="1">
        <v>45784</v>
      </c>
      <c r="C174" s="2">
        <v>0.57840277777777782</v>
      </c>
      <c r="D174" t="s">
        <v>41</v>
      </c>
      <c r="E174" t="s">
        <v>42</v>
      </c>
      <c r="F174" t="s">
        <v>914</v>
      </c>
      <c r="G174" t="s">
        <v>915</v>
      </c>
      <c r="H174">
        <v>65</v>
      </c>
      <c r="I174" t="s">
        <v>78</v>
      </c>
      <c r="J174" t="s">
        <v>68</v>
      </c>
      <c r="K174" t="s">
        <v>45</v>
      </c>
      <c r="L174" t="s">
        <v>916</v>
      </c>
      <c r="M174" t="s">
        <v>505</v>
      </c>
      <c r="N174" t="s">
        <v>165</v>
      </c>
      <c r="O174" t="s">
        <v>118</v>
      </c>
      <c r="P174">
        <v>60865</v>
      </c>
      <c r="Q174" t="s">
        <v>107</v>
      </c>
      <c r="R174" t="s">
        <v>50</v>
      </c>
      <c r="S174" t="s">
        <v>166</v>
      </c>
      <c r="T174" t="s">
        <v>52</v>
      </c>
      <c r="U174" t="s">
        <v>211</v>
      </c>
      <c r="V174" t="s">
        <v>54</v>
      </c>
      <c r="W174" t="s">
        <v>41</v>
      </c>
      <c r="X174" t="s">
        <v>176</v>
      </c>
      <c r="Y174" t="s">
        <v>93</v>
      </c>
      <c r="Z174" t="s">
        <v>359</v>
      </c>
      <c r="AA174" t="s">
        <v>274</v>
      </c>
      <c r="AB174">
        <v>0</v>
      </c>
      <c r="AC174">
        <v>0</v>
      </c>
      <c r="AD174">
        <v>5</v>
      </c>
      <c r="AE174">
        <v>2207.96</v>
      </c>
      <c r="AF174">
        <v>0</v>
      </c>
      <c r="AG174">
        <v>110.4</v>
      </c>
      <c r="AH174">
        <v>50.91</v>
      </c>
      <c r="AI174">
        <v>2369.27</v>
      </c>
      <c r="AJ174">
        <v>1077.1300000000001</v>
      </c>
      <c r="AK174">
        <v>1241.23</v>
      </c>
      <c r="AL174">
        <v>52.39</v>
      </c>
      <c r="AM174">
        <v>8251.61</v>
      </c>
      <c r="AN174" t="b">
        <v>1</v>
      </c>
      <c r="AO174">
        <v>5</v>
      </c>
    </row>
    <row r="175" spans="1:41" x14ac:dyDescent="0.35">
      <c r="A175" t="s">
        <v>917</v>
      </c>
      <c r="B175" s="1">
        <v>45964</v>
      </c>
      <c r="C175" s="2">
        <v>0.34783564814814816</v>
      </c>
      <c r="D175" t="s">
        <v>41</v>
      </c>
      <c r="E175" t="s">
        <v>42</v>
      </c>
      <c r="F175" t="s">
        <v>918</v>
      </c>
      <c r="G175" t="s">
        <v>919</v>
      </c>
      <c r="H175">
        <v>39</v>
      </c>
      <c r="I175" t="s">
        <v>78</v>
      </c>
      <c r="J175" t="s">
        <v>68</v>
      </c>
      <c r="K175" t="s">
        <v>45</v>
      </c>
      <c r="L175" t="s">
        <v>920</v>
      </c>
      <c r="M175" t="s">
        <v>79</v>
      </c>
      <c r="N175" t="s">
        <v>47</v>
      </c>
      <c r="O175" t="s">
        <v>80</v>
      </c>
      <c r="P175">
        <v>73309</v>
      </c>
      <c r="Q175" t="s">
        <v>96</v>
      </c>
      <c r="R175" t="s">
        <v>50</v>
      </c>
      <c r="S175" t="s">
        <v>51</v>
      </c>
      <c r="T175" t="s">
        <v>52</v>
      </c>
      <c r="U175" t="s">
        <v>72</v>
      </c>
      <c r="V175" t="s">
        <v>54</v>
      </c>
      <c r="W175" t="s">
        <v>41</v>
      </c>
      <c r="X175" t="s">
        <v>55</v>
      </c>
      <c r="Y175" t="s">
        <v>56</v>
      </c>
      <c r="Z175" t="s">
        <v>57</v>
      </c>
      <c r="AA175" t="s">
        <v>115</v>
      </c>
      <c r="AB175">
        <v>0</v>
      </c>
      <c r="AC175">
        <v>0</v>
      </c>
      <c r="AD175">
        <v>9</v>
      </c>
      <c r="AE175">
        <v>3264.77</v>
      </c>
      <c r="AF175">
        <v>0</v>
      </c>
      <c r="AG175">
        <v>228.53</v>
      </c>
      <c r="AH175">
        <v>20.99</v>
      </c>
      <c r="AI175">
        <v>3514.29</v>
      </c>
      <c r="AJ175">
        <v>1981.32</v>
      </c>
      <c r="AK175">
        <v>1511.98</v>
      </c>
      <c r="AL175">
        <v>43.02</v>
      </c>
      <c r="AM175">
        <v>8573.73</v>
      </c>
      <c r="AN175" t="b">
        <v>1</v>
      </c>
      <c r="AO175">
        <v>5</v>
      </c>
    </row>
    <row r="176" spans="1:41" x14ac:dyDescent="0.35">
      <c r="A176" t="s">
        <v>921</v>
      </c>
      <c r="B176" s="1">
        <v>45849</v>
      </c>
      <c r="C176" s="2">
        <v>9.5601851851851855E-2</v>
      </c>
      <c r="D176" t="s">
        <v>41</v>
      </c>
      <c r="E176" t="s">
        <v>111</v>
      </c>
      <c r="F176" t="s">
        <v>922</v>
      </c>
      <c r="G176" t="s">
        <v>923</v>
      </c>
      <c r="H176">
        <v>34</v>
      </c>
      <c r="I176" t="s">
        <v>78</v>
      </c>
      <c r="J176" t="s">
        <v>88</v>
      </c>
      <c r="K176" t="s">
        <v>45</v>
      </c>
      <c r="L176" t="s">
        <v>924</v>
      </c>
      <c r="M176" t="s">
        <v>79</v>
      </c>
      <c r="N176" t="s">
        <v>47</v>
      </c>
      <c r="O176" t="s">
        <v>80</v>
      </c>
      <c r="P176">
        <v>49718</v>
      </c>
      <c r="Q176" t="s">
        <v>137</v>
      </c>
      <c r="R176" t="s">
        <v>50</v>
      </c>
      <c r="S176" t="s">
        <v>51</v>
      </c>
      <c r="T176" t="s">
        <v>52</v>
      </c>
      <c r="U176" t="s">
        <v>155</v>
      </c>
      <c r="V176" t="s">
        <v>54</v>
      </c>
      <c r="W176" t="s">
        <v>41</v>
      </c>
      <c r="X176" t="s">
        <v>98</v>
      </c>
      <c r="Y176" t="s">
        <v>56</v>
      </c>
      <c r="Z176" t="s">
        <v>57</v>
      </c>
      <c r="AA176" t="s">
        <v>203</v>
      </c>
      <c r="AB176">
        <v>0</v>
      </c>
      <c r="AC176">
        <v>0</v>
      </c>
      <c r="AD176">
        <v>3</v>
      </c>
      <c r="AE176">
        <v>1173.9100000000001</v>
      </c>
      <c r="AF176">
        <v>0</v>
      </c>
      <c r="AG176">
        <v>82.18</v>
      </c>
      <c r="AH176">
        <v>27.21</v>
      </c>
      <c r="AI176">
        <v>1283.3</v>
      </c>
      <c r="AJ176">
        <v>633.07000000000005</v>
      </c>
      <c r="AK176">
        <v>623.02</v>
      </c>
      <c r="AL176">
        <v>48.55</v>
      </c>
      <c r="AM176">
        <v>4606.95</v>
      </c>
      <c r="AN176" t="b">
        <v>1</v>
      </c>
      <c r="AO176">
        <v>6</v>
      </c>
    </row>
    <row r="177" spans="1:41" x14ac:dyDescent="0.35">
      <c r="A177" t="s">
        <v>925</v>
      </c>
      <c r="B177" s="1">
        <v>44717</v>
      </c>
      <c r="C177" s="2">
        <v>5.859953703703704E-2</v>
      </c>
      <c r="D177" t="s">
        <v>41</v>
      </c>
      <c r="E177" t="s">
        <v>42</v>
      </c>
      <c r="F177" t="s">
        <v>926</v>
      </c>
      <c r="G177" t="s">
        <v>927</v>
      </c>
      <c r="H177">
        <v>39</v>
      </c>
      <c r="I177" t="s">
        <v>173</v>
      </c>
      <c r="J177" t="s">
        <v>88</v>
      </c>
      <c r="K177" t="s">
        <v>45</v>
      </c>
      <c r="L177" t="s">
        <v>928</v>
      </c>
      <c r="M177" t="s">
        <v>130</v>
      </c>
      <c r="N177" t="s">
        <v>47</v>
      </c>
      <c r="O177" t="s">
        <v>70</v>
      </c>
      <c r="P177">
        <v>18242</v>
      </c>
      <c r="Q177" t="s">
        <v>63</v>
      </c>
      <c r="R177" t="s">
        <v>50</v>
      </c>
      <c r="S177" t="s">
        <v>51</v>
      </c>
      <c r="T177" t="s">
        <v>71</v>
      </c>
      <c r="U177" t="s">
        <v>243</v>
      </c>
      <c r="V177" t="s">
        <v>54</v>
      </c>
      <c r="W177" t="s">
        <v>41</v>
      </c>
      <c r="X177" t="s">
        <v>98</v>
      </c>
      <c r="Y177" t="s">
        <v>108</v>
      </c>
      <c r="Z177" t="s">
        <v>245</v>
      </c>
      <c r="AA177" t="s">
        <v>100</v>
      </c>
      <c r="AB177">
        <v>0</v>
      </c>
      <c r="AC177">
        <v>0</v>
      </c>
      <c r="AD177">
        <v>8</v>
      </c>
      <c r="AE177">
        <v>1992.54</v>
      </c>
      <c r="AF177">
        <v>0</v>
      </c>
      <c r="AG177">
        <v>139.47</v>
      </c>
      <c r="AH177">
        <v>9.85</v>
      </c>
      <c r="AI177">
        <v>2141.86</v>
      </c>
      <c r="AJ177">
        <v>886.75</v>
      </c>
      <c r="AK177">
        <v>1245.26</v>
      </c>
      <c r="AL177">
        <v>58.14</v>
      </c>
      <c r="AM177">
        <v>7511.36</v>
      </c>
      <c r="AN177" t="b">
        <v>1</v>
      </c>
      <c r="AO177">
        <v>5</v>
      </c>
    </row>
    <row r="178" spans="1:41" x14ac:dyDescent="0.35">
      <c r="A178" t="s">
        <v>929</v>
      </c>
      <c r="B178" s="1">
        <v>44445</v>
      </c>
      <c r="C178" s="2">
        <v>0.25583333333333336</v>
      </c>
      <c r="D178" t="s">
        <v>41</v>
      </c>
      <c r="E178" t="s">
        <v>77</v>
      </c>
      <c r="F178" t="s">
        <v>930</v>
      </c>
      <c r="G178" t="s">
        <v>931</v>
      </c>
      <c r="H178">
        <v>55</v>
      </c>
      <c r="I178" t="s">
        <v>43</v>
      </c>
      <c r="J178" t="s">
        <v>44</v>
      </c>
      <c r="K178" t="s">
        <v>45</v>
      </c>
      <c r="L178" t="s">
        <v>932</v>
      </c>
      <c r="M178" t="s">
        <v>122</v>
      </c>
      <c r="N178" t="s">
        <v>123</v>
      </c>
      <c r="O178" t="s">
        <v>80</v>
      </c>
      <c r="P178">
        <v>38948</v>
      </c>
      <c r="Q178" t="s">
        <v>113</v>
      </c>
      <c r="R178" t="s">
        <v>50</v>
      </c>
      <c r="S178" t="s">
        <v>124</v>
      </c>
      <c r="T178" t="s">
        <v>52</v>
      </c>
      <c r="U178" t="s">
        <v>221</v>
      </c>
      <c r="V178" t="s">
        <v>54</v>
      </c>
      <c r="W178" t="s">
        <v>41</v>
      </c>
      <c r="X178" t="s">
        <v>261</v>
      </c>
      <c r="Y178" t="s">
        <v>131</v>
      </c>
      <c r="Z178" t="s">
        <v>132</v>
      </c>
      <c r="AA178" t="s">
        <v>244</v>
      </c>
      <c r="AB178">
        <v>0</v>
      </c>
      <c r="AC178">
        <v>0</v>
      </c>
      <c r="AD178">
        <v>5</v>
      </c>
      <c r="AE178">
        <v>1118.9000000000001</v>
      </c>
      <c r="AF178">
        <v>0</v>
      </c>
      <c r="AG178">
        <v>223.78</v>
      </c>
      <c r="AH178">
        <v>11.6</v>
      </c>
      <c r="AI178">
        <v>1354.28</v>
      </c>
      <c r="AJ178">
        <v>647.96</v>
      </c>
      <c r="AK178">
        <v>694.72</v>
      </c>
      <c r="AL178">
        <v>51.3</v>
      </c>
      <c r="AM178">
        <v>6585.08</v>
      </c>
      <c r="AN178" t="b">
        <v>1</v>
      </c>
      <c r="AO178">
        <v>7</v>
      </c>
    </row>
    <row r="179" spans="1:41" x14ac:dyDescent="0.35">
      <c r="A179" t="s">
        <v>933</v>
      </c>
      <c r="B179" s="1">
        <v>46001</v>
      </c>
      <c r="C179" s="2">
        <v>0.20725694444444445</v>
      </c>
      <c r="D179" t="s">
        <v>41</v>
      </c>
      <c r="E179" t="s">
        <v>42</v>
      </c>
      <c r="F179" t="s">
        <v>934</v>
      </c>
      <c r="G179" t="s">
        <v>935</v>
      </c>
      <c r="H179">
        <v>64</v>
      </c>
      <c r="I179" t="s">
        <v>43</v>
      </c>
      <c r="J179" t="s">
        <v>88</v>
      </c>
      <c r="K179" t="s">
        <v>45</v>
      </c>
      <c r="L179" t="s">
        <v>936</v>
      </c>
      <c r="M179" t="s">
        <v>233</v>
      </c>
      <c r="N179" t="s">
        <v>62</v>
      </c>
      <c r="O179" t="s">
        <v>70</v>
      </c>
      <c r="P179">
        <v>63442</v>
      </c>
      <c r="Q179" t="s">
        <v>81</v>
      </c>
      <c r="R179" t="s">
        <v>50</v>
      </c>
      <c r="S179" t="s">
        <v>64</v>
      </c>
      <c r="T179" t="s">
        <v>52</v>
      </c>
      <c r="U179" t="s">
        <v>53</v>
      </c>
      <c r="V179" t="s">
        <v>54</v>
      </c>
      <c r="W179" t="s">
        <v>41</v>
      </c>
      <c r="X179" t="s">
        <v>176</v>
      </c>
      <c r="Y179" t="s">
        <v>131</v>
      </c>
      <c r="Z179" t="s">
        <v>132</v>
      </c>
      <c r="AA179" t="s">
        <v>144</v>
      </c>
      <c r="AB179">
        <v>0</v>
      </c>
      <c r="AC179">
        <v>0</v>
      </c>
      <c r="AD179">
        <v>6</v>
      </c>
      <c r="AE179">
        <v>533.04</v>
      </c>
      <c r="AF179">
        <v>0</v>
      </c>
      <c r="AG179">
        <v>101.27</v>
      </c>
      <c r="AH179">
        <v>27.48</v>
      </c>
      <c r="AI179">
        <v>661.79</v>
      </c>
      <c r="AJ179">
        <v>253.58</v>
      </c>
      <c r="AK179">
        <v>380.73</v>
      </c>
      <c r="AL179">
        <v>57.53</v>
      </c>
      <c r="AM179">
        <v>5456.77</v>
      </c>
      <c r="AN179" t="b">
        <v>1</v>
      </c>
      <c r="AO179">
        <v>5</v>
      </c>
    </row>
    <row r="180" spans="1:41" x14ac:dyDescent="0.35">
      <c r="A180" t="s">
        <v>937</v>
      </c>
      <c r="B180" s="1">
        <v>44927</v>
      </c>
      <c r="C180" s="2">
        <v>0.16100694444444444</v>
      </c>
      <c r="D180" t="s">
        <v>41</v>
      </c>
      <c r="E180" t="s">
        <v>59</v>
      </c>
      <c r="F180" t="s">
        <v>938</v>
      </c>
      <c r="G180" t="s">
        <v>939</v>
      </c>
      <c r="H180">
        <v>29</v>
      </c>
      <c r="I180" t="s">
        <v>43</v>
      </c>
      <c r="J180" t="s">
        <v>88</v>
      </c>
      <c r="K180" t="s">
        <v>45</v>
      </c>
      <c r="L180" t="s">
        <v>940</v>
      </c>
      <c r="M180" t="s">
        <v>293</v>
      </c>
      <c r="N180" t="s">
        <v>123</v>
      </c>
      <c r="O180" t="s">
        <v>118</v>
      </c>
      <c r="P180">
        <v>11137</v>
      </c>
      <c r="Q180" t="s">
        <v>113</v>
      </c>
      <c r="R180" t="s">
        <v>50</v>
      </c>
      <c r="S180" t="s">
        <v>124</v>
      </c>
      <c r="T180" t="s">
        <v>71</v>
      </c>
      <c r="U180" t="s">
        <v>243</v>
      </c>
      <c r="V180" t="s">
        <v>54</v>
      </c>
      <c r="W180" t="s">
        <v>41</v>
      </c>
      <c r="X180" t="s">
        <v>84</v>
      </c>
      <c r="Y180" t="s">
        <v>56</v>
      </c>
      <c r="Z180" t="s">
        <v>57</v>
      </c>
      <c r="AA180" t="s">
        <v>203</v>
      </c>
      <c r="AB180">
        <v>0</v>
      </c>
      <c r="AC180">
        <v>0</v>
      </c>
      <c r="AD180">
        <v>3</v>
      </c>
      <c r="AE180">
        <v>567.49</v>
      </c>
      <c r="AF180">
        <v>0</v>
      </c>
      <c r="AG180">
        <v>113.51</v>
      </c>
      <c r="AH180">
        <v>13.01</v>
      </c>
      <c r="AI180">
        <v>694.01</v>
      </c>
      <c r="AJ180">
        <v>238.26</v>
      </c>
      <c r="AK180">
        <v>442.74</v>
      </c>
      <c r="AL180">
        <v>63.79</v>
      </c>
      <c r="AM180">
        <v>7229.55</v>
      </c>
      <c r="AN180" t="b">
        <v>1</v>
      </c>
      <c r="AO180">
        <v>8</v>
      </c>
    </row>
    <row r="181" spans="1:41" x14ac:dyDescent="0.35">
      <c r="A181" t="s">
        <v>941</v>
      </c>
      <c r="B181" s="1">
        <v>45843</v>
      </c>
      <c r="C181" s="2">
        <v>0.11903935185185185</v>
      </c>
      <c r="D181" t="s">
        <v>41</v>
      </c>
      <c r="E181" t="s">
        <v>42</v>
      </c>
      <c r="F181" t="s">
        <v>942</v>
      </c>
      <c r="G181" t="s">
        <v>943</v>
      </c>
      <c r="H181">
        <v>31</v>
      </c>
      <c r="I181" t="s">
        <v>78</v>
      </c>
      <c r="J181" t="s">
        <v>44</v>
      </c>
      <c r="K181" t="s">
        <v>45</v>
      </c>
      <c r="L181" t="s">
        <v>944</v>
      </c>
      <c r="M181" t="s">
        <v>154</v>
      </c>
      <c r="N181" t="s">
        <v>47</v>
      </c>
      <c r="O181" t="s">
        <v>48</v>
      </c>
      <c r="P181">
        <v>70481</v>
      </c>
      <c r="Q181" t="s">
        <v>96</v>
      </c>
      <c r="R181" t="s">
        <v>50</v>
      </c>
      <c r="S181" t="s">
        <v>51</v>
      </c>
      <c r="T181" t="s">
        <v>65</v>
      </c>
      <c r="U181" t="s">
        <v>145</v>
      </c>
      <c r="V181" t="s">
        <v>54</v>
      </c>
      <c r="W181" t="s">
        <v>41</v>
      </c>
      <c r="X181" t="s">
        <v>84</v>
      </c>
      <c r="Y181" t="s">
        <v>85</v>
      </c>
      <c r="Z181" t="s">
        <v>161</v>
      </c>
      <c r="AA181" t="s">
        <v>274</v>
      </c>
      <c r="AB181">
        <v>0</v>
      </c>
      <c r="AC181">
        <v>0</v>
      </c>
      <c r="AD181">
        <v>7</v>
      </c>
      <c r="AE181">
        <v>2393.1799999999998</v>
      </c>
      <c r="AF181">
        <v>0</v>
      </c>
      <c r="AG181">
        <v>167.51</v>
      </c>
      <c r="AH181">
        <v>48.21</v>
      </c>
      <c r="AI181">
        <v>2608.9</v>
      </c>
      <c r="AJ181">
        <v>1479.18</v>
      </c>
      <c r="AK181">
        <v>1081.51</v>
      </c>
      <c r="AL181">
        <v>41.45</v>
      </c>
      <c r="AM181">
        <v>11779.31</v>
      </c>
      <c r="AN181" t="b">
        <v>1</v>
      </c>
      <c r="AO181">
        <v>6</v>
      </c>
    </row>
    <row r="182" spans="1:41" x14ac:dyDescent="0.35">
      <c r="A182" t="s">
        <v>945</v>
      </c>
      <c r="B182" s="1">
        <v>46002</v>
      </c>
      <c r="C182" s="2">
        <v>0.40875</v>
      </c>
      <c r="D182" t="s">
        <v>41</v>
      </c>
      <c r="E182" t="s">
        <v>42</v>
      </c>
      <c r="F182" t="s">
        <v>946</v>
      </c>
      <c r="G182" t="s">
        <v>947</v>
      </c>
      <c r="H182">
        <v>64</v>
      </c>
      <c r="I182" t="s">
        <v>78</v>
      </c>
      <c r="J182" t="s">
        <v>68</v>
      </c>
      <c r="K182" t="s">
        <v>45</v>
      </c>
      <c r="L182" t="s">
        <v>948</v>
      </c>
      <c r="M182" t="s">
        <v>764</v>
      </c>
      <c r="N182" t="s">
        <v>90</v>
      </c>
      <c r="O182" t="s">
        <v>106</v>
      </c>
      <c r="P182">
        <v>6554</v>
      </c>
      <c r="Q182" t="s">
        <v>107</v>
      </c>
      <c r="R182" t="s">
        <v>50</v>
      </c>
      <c r="S182" t="s">
        <v>91</v>
      </c>
      <c r="T182" t="s">
        <v>82</v>
      </c>
      <c r="U182" t="s">
        <v>221</v>
      </c>
      <c r="V182" t="s">
        <v>54</v>
      </c>
      <c r="W182" t="s">
        <v>41</v>
      </c>
      <c r="X182" t="s">
        <v>55</v>
      </c>
      <c r="Y182" t="s">
        <v>212</v>
      </c>
      <c r="Z182" t="s">
        <v>228</v>
      </c>
      <c r="AA182" t="s">
        <v>178</v>
      </c>
      <c r="AB182">
        <v>0</v>
      </c>
      <c r="AC182">
        <v>0</v>
      </c>
      <c r="AD182">
        <v>7</v>
      </c>
      <c r="AE182">
        <v>884.34</v>
      </c>
      <c r="AF182">
        <v>0</v>
      </c>
      <c r="AG182">
        <v>114.97</v>
      </c>
      <c r="AH182">
        <v>64.78</v>
      </c>
      <c r="AI182">
        <v>1064.0899999999999</v>
      </c>
      <c r="AJ182">
        <v>543.33000000000004</v>
      </c>
      <c r="AK182">
        <v>455.98</v>
      </c>
      <c r="AL182">
        <v>42.85</v>
      </c>
      <c r="AM182">
        <v>13380.05</v>
      </c>
      <c r="AN182" t="b">
        <v>1</v>
      </c>
      <c r="AO182">
        <v>8</v>
      </c>
    </row>
    <row r="183" spans="1:41" x14ac:dyDescent="0.35">
      <c r="A183" t="s">
        <v>949</v>
      </c>
      <c r="B183" s="1">
        <v>44809</v>
      </c>
      <c r="C183" s="2">
        <v>0.78651620370370368</v>
      </c>
      <c r="D183" t="s">
        <v>41</v>
      </c>
      <c r="E183" t="s">
        <v>77</v>
      </c>
      <c r="F183" t="s">
        <v>950</v>
      </c>
      <c r="G183" t="s">
        <v>951</v>
      </c>
      <c r="H183">
        <v>35</v>
      </c>
      <c r="I183" t="s">
        <v>78</v>
      </c>
      <c r="J183" t="s">
        <v>44</v>
      </c>
      <c r="K183" t="s">
        <v>45</v>
      </c>
      <c r="L183" t="s">
        <v>952</v>
      </c>
      <c r="M183" t="s">
        <v>116</v>
      </c>
      <c r="N183" t="s">
        <v>117</v>
      </c>
      <c r="O183" t="s">
        <v>118</v>
      </c>
      <c r="P183">
        <v>62627</v>
      </c>
      <c r="Q183" t="s">
        <v>63</v>
      </c>
      <c r="R183" t="s">
        <v>50</v>
      </c>
      <c r="S183" t="s">
        <v>119</v>
      </c>
      <c r="T183" t="s">
        <v>82</v>
      </c>
      <c r="U183" t="s">
        <v>145</v>
      </c>
      <c r="V183" t="s">
        <v>54</v>
      </c>
      <c r="W183" t="s">
        <v>41</v>
      </c>
      <c r="X183" t="s">
        <v>98</v>
      </c>
      <c r="Y183" t="s">
        <v>212</v>
      </c>
      <c r="Z183" t="s">
        <v>228</v>
      </c>
      <c r="AA183" t="s">
        <v>253</v>
      </c>
      <c r="AB183">
        <v>0</v>
      </c>
      <c r="AC183">
        <v>0</v>
      </c>
      <c r="AD183">
        <v>5</v>
      </c>
      <c r="AE183">
        <v>832.6</v>
      </c>
      <c r="AF183">
        <v>0</v>
      </c>
      <c r="AG183">
        <v>83.26</v>
      </c>
      <c r="AH183">
        <v>72.97</v>
      </c>
      <c r="AI183">
        <v>988.83</v>
      </c>
      <c r="AJ183">
        <v>461.17</v>
      </c>
      <c r="AK183">
        <v>454.69</v>
      </c>
      <c r="AL183">
        <v>45.98</v>
      </c>
      <c r="AM183">
        <v>6754.17</v>
      </c>
      <c r="AN183" t="b">
        <v>1</v>
      </c>
      <c r="AO183">
        <v>7</v>
      </c>
    </row>
    <row r="184" spans="1:41" x14ac:dyDescent="0.35">
      <c r="A184" t="s">
        <v>953</v>
      </c>
      <c r="B184" s="1">
        <v>45717</v>
      </c>
      <c r="C184" s="2">
        <v>0.91378472222222218</v>
      </c>
      <c r="D184" t="s">
        <v>41</v>
      </c>
      <c r="E184" t="s">
        <v>42</v>
      </c>
      <c r="F184" t="s">
        <v>954</v>
      </c>
      <c r="G184" t="s">
        <v>955</v>
      </c>
      <c r="H184">
        <v>29</v>
      </c>
      <c r="I184" t="s">
        <v>43</v>
      </c>
      <c r="J184" t="s">
        <v>88</v>
      </c>
      <c r="K184" t="s">
        <v>45</v>
      </c>
      <c r="L184" t="s">
        <v>956</v>
      </c>
      <c r="M184" t="s">
        <v>122</v>
      </c>
      <c r="N184" t="s">
        <v>123</v>
      </c>
      <c r="O184" t="s">
        <v>80</v>
      </c>
      <c r="P184">
        <v>96927</v>
      </c>
      <c r="Q184" t="s">
        <v>49</v>
      </c>
      <c r="R184" t="s">
        <v>50</v>
      </c>
      <c r="S184" t="s">
        <v>124</v>
      </c>
      <c r="T184" t="s">
        <v>71</v>
      </c>
      <c r="U184" t="s">
        <v>138</v>
      </c>
      <c r="V184" t="s">
        <v>54</v>
      </c>
      <c r="W184" t="s">
        <v>41</v>
      </c>
      <c r="X184" t="s">
        <v>98</v>
      </c>
      <c r="Y184" t="s">
        <v>99</v>
      </c>
      <c r="Z184" t="s">
        <v>57</v>
      </c>
      <c r="AA184" t="s">
        <v>76</v>
      </c>
      <c r="AB184">
        <v>0</v>
      </c>
      <c r="AC184">
        <v>0</v>
      </c>
      <c r="AD184">
        <v>8</v>
      </c>
      <c r="AE184">
        <v>1335.64</v>
      </c>
      <c r="AF184">
        <v>0</v>
      </c>
      <c r="AG184">
        <v>267.13</v>
      </c>
      <c r="AH184">
        <v>6.34</v>
      </c>
      <c r="AI184">
        <v>1609.11</v>
      </c>
      <c r="AJ184">
        <v>698.08</v>
      </c>
      <c r="AK184">
        <v>904.69</v>
      </c>
      <c r="AL184">
        <v>56.22</v>
      </c>
      <c r="AM184">
        <v>8687.42</v>
      </c>
      <c r="AN184" t="b">
        <v>1</v>
      </c>
      <c r="AO184">
        <v>7</v>
      </c>
    </row>
    <row r="185" spans="1:41" x14ac:dyDescent="0.35">
      <c r="A185" t="s">
        <v>957</v>
      </c>
      <c r="B185" s="1">
        <v>45575</v>
      </c>
      <c r="C185" s="2">
        <v>0.92339120370370376</v>
      </c>
      <c r="D185" t="s">
        <v>41</v>
      </c>
      <c r="E185" t="s">
        <v>77</v>
      </c>
      <c r="F185" t="s">
        <v>958</v>
      </c>
      <c r="G185" t="s">
        <v>959</v>
      </c>
      <c r="H185">
        <v>34</v>
      </c>
      <c r="I185" t="s">
        <v>43</v>
      </c>
      <c r="J185" t="s">
        <v>88</v>
      </c>
      <c r="K185" t="s">
        <v>45</v>
      </c>
      <c r="L185" t="s">
        <v>960</v>
      </c>
      <c r="M185" t="s">
        <v>79</v>
      </c>
      <c r="N185" t="s">
        <v>47</v>
      </c>
      <c r="O185" t="s">
        <v>80</v>
      </c>
      <c r="P185">
        <v>34872</v>
      </c>
      <c r="Q185" t="s">
        <v>137</v>
      </c>
      <c r="R185" t="s">
        <v>50</v>
      </c>
      <c r="S185" t="s">
        <v>51</v>
      </c>
      <c r="T185" t="s">
        <v>52</v>
      </c>
      <c r="U185" t="s">
        <v>66</v>
      </c>
      <c r="V185" t="s">
        <v>54</v>
      </c>
      <c r="W185" t="s">
        <v>41</v>
      </c>
      <c r="X185" t="s">
        <v>98</v>
      </c>
      <c r="Y185" t="s">
        <v>56</v>
      </c>
      <c r="Z185" t="s">
        <v>57</v>
      </c>
      <c r="AA185" t="s">
        <v>248</v>
      </c>
      <c r="AB185">
        <v>0</v>
      </c>
      <c r="AC185">
        <v>0</v>
      </c>
      <c r="AD185">
        <v>5</v>
      </c>
      <c r="AE185">
        <v>1087.0999999999999</v>
      </c>
      <c r="AF185">
        <v>0</v>
      </c>
      <c r="AG185">
        <v>76.099999999999994</v>
      </c>
      <c r="AH185">
        <v>5.87</v>
      </c>
      <c r="AI185">
        <v>1169.07</v>
      </c>
      <c r="AJ185">
        <v>465.9</v>
      </c>
      <c r="AK185">
        <v>697.3</v>
      </c>
      <c r="AL185">
        <v>59.65</v>
      </c>
      <c r="AM185">
        <v>5513.59</v>
      </c>
      <c r="AN185" t="b">
        <v>1</v>
      </c>
      <c r="AO185">
        <v>5</v>
      </c>
    </row>
    <row r="186" spans="1:41" x14ac:dyDescent="0.35">
      <c r="A186" t="s">
        <v>961</v>
      </c>
      <c r="B186" s="1">
        <v>45480</v>
      </c>
      <c r="C186" s="2">
        <v>0.26005787037037037</v>
      </c>
      <c r="D186" t="s">
        <v>41</v>
      </c>
      <c r="E186" t="s">
        <v>42</v>
      </c>
      <c r="F186" t="s">
        <v>962</v>
      </c>
      <c r="G186" t="s">
        <v>963</v>
      </c>
      <c r="H186">
        <v>31</v>
      </c>
      <c r="I186" t="s">
        <v>78</v>
      </c>
      <c r="J186" t="s">
        <v>88</v>
      </c>
      <c r="K186" t="s">
        <v>45</v>
      </c>
      <c r="L186" t="s">
        <v>964</v>
      </c>
      <c r="M186" t="s">
        <v>130</v>
      </c>
      <c r="N186" t="s">
        <v>47</v>
      </c>
      <c r="O186" t="s">
        <v>70</v>
      </c>
      <c r="P186">
        <v>66531</v>
      </c>
      <c r="Q186" t="s">
        <v>113</v>
      </c>
      <c r="R186" t="s">
        <v>50</v>
      </c>
      <c r="S186" t="s">
        <v>51</v>
      </c>
      <c r="T186" t="s">
        <v>52</v>
      </c>
      <c r="U186" t="s">
        <v>243</v>
      </c>
      <c r="V186" t="s">
        <v>54</v>
      </c>
      <c r="W186" t="s">
        <v>41</v>
      </c>
      <c r="X186" t="s">
        <v>84</v>
      </c>
      <c r="Y186" t="s">
        <v>99</v>
      </c>
      <c r="Z186" t="s">
        <v>57</v>
      </c>
      <c r="AA186" t="s">
        <v>206</v>
      </c>
      <c r="AB186">
        <v>0</v>
      </c>
      <c r="AC186">
        <v>0</v>
      </c>
      <c r="AD186">
        <v>3</v>
      </c>
      <c r="AE186">
        <v>216.39</v>
      </c>
      <c r="AF186">
        <v>0</v>
      </c>
      <c r="AG186">
        <v>15.14</v>
      </c>
      <c r="AH186">
        <v>12.32</v>
      </c>
      <c r="AI186">
        <v>243.85</v>
      </c>
      <c r="AJ186">
        <v>69.56</v>
      </c>
      <c r="AK186">
        <v>161.97</v>
      </c>
      <c r="AL186">
        <v>66.42</v>
      </c>
      <c r="AM186">
        <v>10198.5</v>
      </c>
      <c r="AN186" t="b">
        <v>1</v>
      </c>
      <c r="AO186">
        <v>9</v>
      </c>
    </row>
    <row r="187" spans="1:41" x14ac:dyDescent="0.35">
      <c r="A187" t="s">
        <v>965</v>
      </c>
      <c r="B187" s="1">
        <v>45574</v>
      </c>
      <c r="C187" s="2">
        <v>0.59309027777777779</v>
      </c>
      <c r="D187" t="s">
        <v>41</v>
      </c>
      <c r="E187" t="s">
        <v>77</v>
      </c>
      <c r="F187" t="s">
        <v>966</v>
      </c>
      <c r="G187" t="s">
        <v>967</v>
      </c>
      <c r="H187">
        <v>67</v>
      </c>
      <c r="I187" t="s">
        <v>43</v>
      </c>
      <c r="J187" t="s">
        <v>44</v>
      </c>
      <c r="K187" t="s">
        <v>45</v>
      </c>
      <c r="L187" t="s">
        <v>968</v>
      </c>
      <c r="M187" t="s">
        <v>46</v>
      </c>
      <c r="N187" t="s">
        <v>47</v>
      </c>
      <c r="O187" t="s">
        <v>48</v>
      </c>
      <c r="P187">
        <v>8672</v>
      </c>
      <c r="Q187" t="s">
        <v>113</v>
      </c>
      <c r="R187" t="s">
        <v>50</v>
      </c>
      <c r="S187" t="s">
        <v>51</v>
      </c>
      <c r="T187" t="s">
        <v>65</v>
      </c>
      <c r="U187" t="s">
        <v>211</v>
      </c>
      <c r="V187" t="s">
        <v>54</v>
      </c>
      <c r="W187" t="s">
        <v>41</v>
      </c>
      <c r="X187" t="s">
        <v>176</v>
      </c>
      <c r="Y187" t="s">
        <v>85</v>
      </c>
      <c r="Z187" t="s">
        <v>86</v>
      </c>
      <c r="AA187" t="s">
        <v>158</v>
      </c>
      <c r="AB187">
        <v>0</v>
      </c>
      <c r="AC187">
        <v>0</v>
      </c>
      <c r="AD187">
        <v>3</v>
      </c>
      <c r="AE187">
        <v>2819.97</v>
      </c>
      <c r="AF187">
        <v>0</v>
      </c>
      <c r="AG187">
        <v>197.39</v>
      </c>
      <c r="AH187">
        <v>15.5</v>
      </c>
      <c r="AI187">
        <v>3032.86</v>
      </c>
      <c r="AJ187">
        <v>1542.19</v>
      </c>
      <c r="AK187">
        <v>1475.17</v>
      </c>
      <c r="AL187">
        <v>48.64</v>
      </c>
      <c r="AM187">
        <v>8026.17</v>
      </c>
      <c r="AN187" t="b">
        <v>1</v>
      </c>
      <c r="AO187">
        <v>6</v>
      </c>
    </row>
    <row r="188" spans="1:41" x14ac:dyDescent="0.35">
      <c r="A188" t="s">
        <v>969</v>
      </c>
      <c r="B188" s="1">
        <v>45967</v>
      </c>
      <c r="C188" s="2">
        <v>0.90361111111111114</v>
      </c>
      <c r="D188" t="s">
        <v>41</v>
      </c>
      <c r="E188" t="s">
        <v>42</v>
      </c>
      <c r="F188" t="s">
        <v>970</v>
      </c>
      <c r="G188" t="s">
        <v>971</v>
      </c>
      <c r="H188">
        <v>44</v>
      </c>
      <c r="I188" t="s">
        <v>43</v>
      </c>
      <c r="J188" t="s">
        <v>68</v>
      </c>
      <c r="K188" t="s">
        <v>152</v>
      </c>
      <c r="L188" t="s">
        <v>972</v>
      </c>
      <c r="M188" t="s">
        <v>193</v>
      </c>
      <c r="N188" t="s">
        <v>47</v>
      </c>
      <c r="O188" t="s">
        <v>106</v>
      </c>
      <c r="P188">
        <v>29314</v>
      </c>
      <c r="Q188" t="s">
        <v>137</v>
      </c>
      <c r="R188" t="s">
        <v>50</v>
      </c>
      <c r="S188" t="s">
        <v>51</v>
      </c>
      <c r="T188" t="s">
        <v>52</v>
      </c>
      <c r="U188" t="s">
        <v>120</v>
      </c>
      <c r="V188" t="s">
        <v>54</v>
      </c>
      <c r="W188" t="s">
        <v>41</v>
      </c>
      <c r="X188" t="s">
        <v>55</v>
      </c>
      <c r="Y188" t="s">
        <v>99</v>
      </c>
      <c r="Z188" t="s">
        <v>57</v>
      </c>
      <c r="AA188" t="s">
        <v>87</v>
      </c>
      <c r="AB188">
        <v>0</v>
      </c>
      <c r="AC188">
        <v>0</v>
      </c>
      <c r="AD188">
        <v>5</v>
      </c>
      <c r="AE188">
        <v>1023.95</v>
      </c>
      <c r="AF188">
        <v>0</v>
      </c>
      <c r="AG188">
        <v>71.680000000000007</v>
      </c>
      <c r="AH188">
        <v>26.52</v>
      </c>
      <c r="AI188">
        <v>1122.1500000000001</v>
      </c>
      <c r="AJ188">
        <v>500.92</v>
      </c>
      <c r="AK188">
        <v>594.71</v>
      </c>
      <c r="AL188">
        <v>53</v>
      </c>
      <c r="AM188">
        <v>3697.71</v>
      </c>
      <c r="AN188" t="b">
        <v>1</v>
      </c>
      <c r="AO188">
        <v>3</v>
      </c>
    </row>
    <row r="189" spans="1:41" x14ac:dyDescent="0.35">
      <c r="A189" t="s">
        <v>973</v>
      </c>
      <c r="B189" s="1">
        <v>44593</v>
      </c>
      <c r="C189" s="2">
        <v>0.3503472222222222</v>
      </c>
      <c r="D189" t="s">
        <v>41</v>
      </c>
      <c r="E189" t="s">
        <v>77</v>
      </c>
      <c r="F189" t="s">
        <v>974</v>
      </c>
      <c r="G189" t="s">
        <v>975</v>
      </c>
      <c r="H189">
        <v>18</v>
      </c>
      <c r="I189" t="s">
        <v>43</v>
      </c>
      <c r="J189" t="s">
        <v>68</v>
      </c>
      <c r="K189" t="s">
        <v>45</v>
      </c>
      <c r="L189" t="s">
        <v>976</v>
      </c>
      <c r="M189" t="s">
        <v>122</v>
      </c>
      <c r="N189" t="s">
        <v>123</v>
      </c>
      <c r="O189" t="s">
        <v>80</v>
      </c>
      <c r="P189">
        <v>69692</v>
      </c>
      <c r="Q189" t="s">
        <v>113</v>
      </c>
      <c r="R189" t="s">
        <v>50</v>
      </c>
      <c r="S189" t="s">
        <v>124</v>
      </c>
      <c r="T189" t="s">
        <v>52</v>
      </c>
      <c r="U189" t="s">
        <v>243</v>
      </c>
      <c r="V189" t="s">
        <v>54</v>
      </c>
      <c r="W189" t="s">
        <v>41</v>
      </c>
      <c r="X189" t="s">
        <v>98</v>
      </c>
      <c r="Y189" t="s">
        <v>108</v>
      </c>
      <c r="Z189" t="s">
        <v>245</v>
      </c>
      <c r="AA189" t="s">
        <v>246</v>
      </c>
      <c r="AB189">
        <v>0</v>
      </c>
      <c r="AC189">
        <v>0</v>
      </c>
      <c r="AD189">
        <v>3</v>
      </c>
      <c r="AE189">
        <v>147.51</v>
      </c>
      <c r="AF189">
        <v>0</v>
      </c>
      <c r="AG189">
        <v>29.5</v>
      </c>
      <c r="AH189">
        <v>4.4800000000000004</v>
      </c>
      <c r="AI189">
        <v>181.49</v>
      </c>
      <c r="AJ189">
        <v>65.290000000000006</v>
      </c>
      <c r="AK189">
        <v>111.72</v>
      </c>
      <c r="AL189">
        <v>61.56</v>
      </c>
      <c r="AM189">
        <v>4964.59</v>
      </c>
      <c r="AN189" t="b">
        <v>1</v>
      </c>
      <c r="AO189">
        <v>6</v>
      </c>
    </row>
    <row r="190" spans="1:41" x14ac:dyDescent="0.35">
      <c r="A190" t="s">
        <v>977</v>
      </c>
      <c r="B190" s="1">
        <v>45242</v>
      </c>
      <c r="C190" s="2">
        <v>0.8790972222222222</v>
      </c>
      <c r="D190" t="s">
        <v>41</v>
      </c>
      <c r="E190" t="s">
        <v>77</v>
      </c>
      <c r="F190" t="s">
        <v>978</v>
      </c>
      <c r="G190" t="s">
        <v>979</v>
      </c>
      <c r="H190">
        <v>39</v>
      </c>
      <c r="I190" t="s">
        <v>43</v>
      </c>
      <c r="J190" t="s">
        <v>88</v>
      </c>
      <c r="K190" t="s">
        <v>45</v>
      </c>
      <c r="L190" t="s">
        <v>980</v>
      </c>
      <c r="M190" t="s">
        <v>89</v>
      </c>
      <c r="N190" t="s">
        <v>90</v>
      </c>
      <c r="O190" t="s">
        <v>48</v>
      </c>
      <c r="P190">
        <v>5379</v>
      </c>
      <c r="Q190" t="s">
        <v>96</v>
      </c>
      <c r="R190" t="s">
        <v>50</v>
      </c>
      <c r="S190" t="s">
        <v>91</v>
      </c>
      <c r="T190" t="s">
        <v>52</v>
      </c>
      <c r="U190" t="s">
        <v>92</v>
      </c>
      <c r="V190" t="s">
        <v>54</v>
      </c>
      <c r="W190" t="s">
        <v>41</v>
      </c>
      <c r="X190" t="s">
        <v>84</v>
      </c>
      <c r="Y190" t="s">
        <v>108</v>
      </c>
      <c r="Z190" t="s">
        <v>245</v>
      </c>
      <c r="AA190" t="s">
        <v>326</v>
      </c>
      <c r="AB190">
        <v>0</v>
      </c>
      <c r="AC190">
        <v>0</v>
      </c>
      <c r="AD190">
        <v>3</v>
      </c>
      <c r="AE190">
        <v>306.18</v>
      </c>
      <c r="AF190">
        <v>0</v>
      </c>
      <c r="AG190">
        <v>39.81</v>
      </c>
      <c r="AH190">
        <v>24.2</v>
      </c>
      <c r="AI190">
        <v>370.19</v>
      </c>
      <c r="AJ190">
        <v>152.06</v>
      </c>
      <c r="AK190">
        <v>193.93</v>
      </c>
      <c r="AL190">
        <v>52.39</v>
      </c>
      <c r="AM190">
        <v>3449.03</v>
      </c>
      <c r="AN190" t="b">
        <v>1</v>
      </c>
      <c r="AO190">
        <v>5</v>
      </c>
    </row>
    <row r="191" spans="1:41" x14ac:dyDescent="0.35">
      <c r="A191" t="s">
        <v>981</v>
      </c>
      <c r="B191" s="1">
        <v>44967</v>
      </c>
      <c r="C191" s="2">
        <v>0.49151620370370369</v>
      </c>
      <c r="D191" t="s">
        <v>41</v>
      </c>
      <c r="E191" t="s">
        <v>77</v>
      </c>
      <c r="F191" t="s">
        <v>982</v>
      </c>
      <c r="G191" t="s">
        <v>983</v>
      </c>
      <c r="H191">
        <v>29</v>
      </c>
      <c r="I191" t="s">
        <v>78</v>
      </c>
      <c r="J191" t="s">
        <v>44</v>
      </c>
      <c r="K191" t="s">
        <v>45</v>
      </c>
      <c r="L191" t="s">
        <v>984</v>
      </c>
      <c r="M191" t="s">
        <v>112</v>
      </c>
      <c r="N191" t="s">
        <v>47</v>
      </c>
      <c r="O191" t="s">
        <v>48</v>
      </c>
      <c r="P191">
        <v>44714</v>
      </c>
      <c r="Q191" t="s">
        <v>113</v>
      </c>
      <c r="R191" t="s">
        <v>50</v>
      </c>
      <c r="S191" t="s">
        <v>51</v>
      </c>
      <c r="T191" t="s">
        <v>65</v>
      </c>
      <c r="U191" t="s">
        <v>324</v>
      </c>
      <c r="V191" t="s">
        <v>54</v>
      </c>
      <c r="W191" t="s">
        <v>41</v>
      </c>
      <c r="X191" t="s">
        <v>98</v>
      </c>
      <c r="Y191" t="s">
        <v>131</v>
      </c>
      <c r="Z191" t="s">
        <v>132</v>
      </c>
      <c r="AA191" t="s">
        <v>192</v>
      </c>
      <c r="AB191">
        <v>0</v>
      </c>
      <c r="AC191">
        <v>0</v>
      </c>
      <c r="AD191">
        <v>4</v>
      </c>
      <c r="AE191">
        <v>1061.42</v>
      </c>
      <c r="AF191">
        <v>0</v>
      </c>
      <c r="AG191">
        <v>74.3</v>
      </c>
      <c r="AH191">
        <v>14.79</v>
      </c>
      <c r="AI191">
        <v>1150.51</v>
      </c>
      <c r="AJ191">
        <v>448.29</v>
      </c>
      <c r="AK191">
        <v>687.43</v>
      </c>
      <c r="AL191">
        <v>59.75</v>
      </c>
      <c r="AM191">
        <v>12106.06</v>
      </c>
      <c r="AN191" t="b">
        <v>1</v>
      </c>
      <c r="AO191">
        <v>6</v>
      </c>
    </row>
    <row r="192" spans="1:41" x14ac:dyDescent="0.35">
      <c r="A192" t="s">
        <v>985</v>
      </c>
      <c r="B192" s="1">
        <v>45879</v>
      </c>
      <c r="C192" s="2">
        <v>0.11466435185185185</v>
      </c>
      <c r="D192" t="s">
        <v>41</v>
      </c>
      <c r="E192" t="s">
        <v>42</v>
      </c>
      <c r="F192" t="s">
        <v>986</v>
      </c>
      <c r="G192" t="s">
        <v>987</v>
      </c>
      <c r="H192">
        <v>31</v>
      </c>
      <c r="I192" t="s">
        <v>43</v>
      </c>
      <c r="J192" t="s">
        <v>88</v>
      </c>
      <c r="K192" t="s">
        <v>45</v>
      </c>
      <c r="L192" t="s">
        <v>988</v>
      </c>
      <c r="M192" t="s">
        <v>154</v>
      </c>
      <c r="N192" t="s">
        <v>47</v>
      </c>
      <c r="O192" t="s">
        <v>48</v>
      </c>
      <c r="P192">
        <v>87540</v>
      </c>
      <c r="Q192" t="s">
        <v>113</v>
      </c>
      <c r="R192" t="s">
        <v>50</v>
      </c>
      <c r="S192" t="s">
        <v>51</v>
      </c>
      <c r="T192" t="s">
        <v>71</v>
      </c>
      <c r="U192" t="s">
        <v>243</v>
      </c>
      <c r="V192" t="s">
        <v>54</v>
      </c>
      <c r="W192" t="s">
        <v>41</v>
      </c>
      <c r="X192" t="s">
        <v>84</v>
      </c>
      <c r="Y192" t="s">
        <v>131</v>
      </c>
      <c r="Z192" t="s">
        <v>227</v>
      </c>
      <c r="AA192" t="s">
        <v>144</v>
      </c>
      <c r="AB192">
        <v>0</v>
      </c>
      <c r="AC192">
        <v>0</v>
      </c>
      <c r="AD192">
        <v>9</v>
      </c>
      <c r="AE192">
        <v>1973.45</v>
      </c>
      <c r="AF192">
        <v>0</v>
      </c>
      <c r="AG192">
        <v>138.15</v>
      </c>
      <c r="AH192">
        <v>54.22</v>
      </c>
      <c r="AI192">
        <v>2165.8200000000002</v>
      </c>
      <c r="AJ192">
        <v>993.22</v>
      </c>
      <c r="AK192">
        <v>1118.3800000000001</v>
      </c>
      <c r="AL192">
        <v>51.64</v>
      </c>
      <c r="AM192">
        <v>9082.52</v>
      </c>
      <c r="AN192" t="b">
        <v>1</v>
      </c>
      <c r="AO192">
        <v>6</v>
      </c>
    </row>
    <row r="193" spans="1:41" x14ac:dyDescent="0.35">
      <c r="A193" t="s">
        <v>989</v>
      </c>
      <c r="B193" s="1">
        <v>45964</v>
      </c>
      <c r="C193" s="2">
        <v>9.3518518518518515E-2</v>
      </c>
      <c r="D193" t="s">
        <v>41</v>
      </c>
      <c r="E193" t="s">
        <v>77</v>
      </c>
      <c r="F193" t="s">
        <v>990</v>
      </c>
      <c r="G193" t="s">
        <v>991</v>
      </c>
      <c r="H193">
        <v>72</v>
      </c>
      <c r="I193" t="s">
        <v>78</v>
      </c>
      <c r="J193" t="s">
        <v>88</v>
      </c>
      <c r="K193" t="s">
        <v>45</v>
      </c>
      <c r="L193" t="s">
        <v>992</v>
      </c>
      <c r="M193" t="s">
        <v>130</v>
      </c>
      <c r="N193" t="s">
        <v>47</v>
      </c>
      <c r="O193" t="s">
        <v>70</v>
      </c>
      <c r="P193">
        <v>5194</v>
      </c>
      <c r="Q193" t="s">
        <v>96</v>
      </c>
      <c r="R193" t="s">
        <v>50</v>
      </c>
      <c r="S193" t="s">
        <v>51</v>
      </c>
      <c r="T193" t="s">
        <v>71</v>
      </c>
      <c r="U193" t="s">
        <v>138</v>
      </c>
      <c r="V193" t="s">
        <v>54</v>
      </c>
      <c r="W193" t="s">
        <v>41</v>
      </c>
      <c r="X193" t="s">
        <v>98</v>
      </c>
      <c r="Y193" t="s">
        <v>74</v>
      </c>
      <c r="Z193" t="s">
        <v>75</v>
      </c>
      <c r="AA193" t="s">
        <v>274</v>
      </c>
      <c r="AB193">
        <v>0</v>
      </c>
      <c r="AC193">
        <v>0</v>
      </c>
      <c r="AD193">
        <v>2</v>
      </c>
      <c r="AE193">
        <v>1976.72</v>
      </c>
      <c r="AF193">
        <v>0</v>
      </c>
      <c r="AG193">
        <v>138.37</v>
      </c>
      <c r="AH193">
        <v>3.61</v>
      </c>
      <c r="AI193">
        <v>2118.6999999999998</v>
      </c>
      <c r="AJ193">
        <v>992</v>
      </c>
      <c r="AK193">
        <v>1123.0899999999999</v>
      </c>
      <c r="AL193">
        <v>53.01</v>
      </c>
      <c r="AM193">
        <v>9722.75</v>
      </c>
      <c r="AN193" t="b">
        <v>1</v>
      </c>
      <c r="AO193">
        <v>6</v>
      </c>
    </row>
    <row r="194" spans="1:41" x14ac:dyDescent="0.35">
      <c r="A194" t="s">
        <v>993</v>
      </c>
      <c r="B194" s="1">
        <v>44600</v>
      </c>
      <c r="C194" s="2">
        <v>4.4097222222222225E-2</v>
      </c>
      <c r="D194" t="s">
        <v>41</v>
      </c>
      <c r="E194" t="s">
        <v>42</v>
      </c>
      <c r="F194" t="s">
        <v>994</v>
      </c>
      <c r="G194" t="s">
        <v>995</v>
      </c>
      <c r="H194">
        <v>57</v>
      </c>
      <c r="I194" t="s">
        <v>43</v>
      </c>
      <c r="J194" t="s">
        <v>88</v>
      </c>
      <c r="K194" t="s">
        <v>45</v>
      </c>
      <c r="L194" t="s">
        <v>996</v>
      </c>
      <c r="M194" t="s">
        <v>198</v>
      </c>
      <c r="N194" t="s">
        <v>47</v>
      </c>
      <c r="O194" t="s">
        <v>70</v>
      </c>
      <c r="P194">
        <v>53141</v>
      </c>
      <c r="Q194" t="s">
        <v>113</v>
      </c>
      <c r="R194" t="s">
        <v>50</v>
      </c>
      <c r="S194" t="s">
        <v>51</v>
      </c>
      <c r="T194" t="s">
        <v>71</v>
      </c>
      <c r="U194" t="s">
        <v>324</v>
      </c>
      <c r="V194" t="s">
        <v>54</v>
      </c>
      <c r="W194" t="s">
        <v>41</v>
      </c>
      <c r="X194" t="s">
        <v>73</v>
      </c>
      <c r="Y194" t="s">
        <v>131</v>
      </c>
      <c r="Z194" t="s">
        <v>132</v>
      </c>
      <c r="AA194" t="s">
        <v>125</v>
      </c>
      <c r="AB194">
        <v>0</v>
      </c>
      <c r="AC194">
        <v>0</v>
      </c>
      <c r="AD194">
        <v>3</v>
      </c>
      <c r="AE194">
        <v>753.31</v>
      </c>
      <c r="AF194">
        <v>0</v>
      </c>
      <c r="AG194">
        <v>52.73</v>
      </c>
      <c r="AH194">
        <v>9.41</v>
      </c>
      <c r="AI194">
        <v>815.45</v>
      </c>
      <c r="AJ194">
        <v>436.44</v>
      </c>
      <c r="AK194">
        <v>369.6</v>
      </c>
      <c r="AL194">
        <v>45.32</v>
      </c>
      <c r="AM194">
        <v>7044.92</v>
      </c>
      <c r="AN194" t="b">
        <v>1</v>
      </c>
      <c r="AO194">
        <v>7</v>
      </c>
    </row>
    <row r="195" spans="1:41" x14ac:dyDescent="0.35">
      <c r="A195" t="s">
        <v>997</v>
      </c>
      <c r="B195" s="1">
        <v>45242</v>
      </c>
      <c r="C195" s="2">
        <v>0.20753472222222222</v>
      </c>
      <c r="D195" t="s">
        <v>41</v>
      </c>
      <c r="E195" t="s">
        <v>77</v>
      </c>
      <c r="F195" t="s">
        <v>998</v>
      </c>
      <c r="G195" t="s">
        <v>999</v>
      </c>
      <c r="H195">
        <v>36</v>
      </c>
      <c r="I195" t="s">
        <v>78</v>
      </c>
      <c r="J195" t="s">
        <v>88</v>
      </c>
      <c r="K195" t="s">
        <v>152</v>
      </c>
      <c r="L195" t="s">
        <v>1000</v>
      </c>
      <c r="M195" t="s">
        <v>142</v>
      </c>
      <c r="N195" t="s">
        <v>47</v>
      </c>
      <c r="O195" t="s">
        <v>70</v>
      </c>
      <c r="P195">
        <v>87006</v>
      </c>
      <c r="Q195" t="s">
        <v>137</v>
      </c>
      <c r="R195" t="s">
        <v>50</v>
      </c>
      <c r="S195" t="s">
        <v>51</v>
      </c>
      <c r="T195" t="s">
        <v>71</v>
      </c>
      <c r="U195" t="s">
        <v>211</v>
      </c>
      <c r="V195" t="s">
        <v>54</v>
      </c>
      <c r="W195" t="s">
        <v>41</v>
      </c>
      <c r="X195" t="s">
        <v>176</v>
      </c>
      <c r="Y195" t="s">
        <v>212</v>
      </c>
      <c r="Z195" t="s">
        <v>213</v>
      </c>
      <c r="AA195" t="s">
        <v>326</v>
      </c>
      <c r="AB195">
        <v>0</v>
      </c>
      <c r="AC195">
        <v>0</v>
      </c>
      <c r="AD195">
        <v>4</v>
      </c>
      <c r="AE195">
        <v>754.01</v>
      </c>
      <c r="AF195">
        <v>0</v>
      </c>
      <c r="AG195">
        <v>52.78</v>
      </c>
      <c r="AH195">
        <v>10.18</v>
      </c>
      <c r="AI195">
        <v>816.97</v>
      </c>
      <c r="AJ195">
        <v>332.87</v>
      </c>
      <c r="AK195">
        <v>473.92</v>
      </c>
      <c r="AL195">
        <v>58.01</v>
      </c>
      <c r="AM195">
        <v>2292.11</v>
      </c>
      <c r="AN195" t="b">
        <v>1</v>
      </c>
      <c r="AO195">
        <v>2</v>
      </c>
    </row>
    <row r="196" spans="1:41" x14ac:dyDescent="0.35">
      <c r="A196" t="s">
        <v>1001</v>
      </c>
      <c r="B196" s="1">
        <v>45938</v>
      </c>
      <c r="C196" s="2">
        <v>0.44270833333333331</v>
      </c>
      <c r="D196" t="s">
        <v>41</v>
      </c>
      <c r="E196" t="s">
        <v>111</v>
      </c>
      <c r="F196" t="s">
        <v>1002</v>
      </c>
      <c r="G196" t="s">
        <v>1003</v>
      </c>
      <c r="H196">
        <v>37</v>
      </c>
      <c r="I196" t="s">
        <v>43</v>
      </c>
      <c r="J196" t="s">
        <v>44</v>
      </c>
      <c r="K196" t="s">
        <v>45</v>
      </c>
      <c r="L196" t="s">
        <v>1004</v>
      </c>
      <c r="M196" t="s">
        <v>198</v>
      </c>
      <c r="N196" t="s">
        <v>47</v>
      </c>
      <c r="O196" t="s">
        <v>70</v>
      </c>
      <c r="P196">
        <v>40167</v>
      </c>
      <c r="Q196" t="s">
        <v>81</v>
      </c>
      <c r="R196" t="s">
        <v>50</v>
      </c>
      <c r="S196" t="s">
        <v>51</v>
      </c>
      <c r="T196" t="s">
        <v>65</v>
      </c>
      <c r="U196" t="s">
        <v>191</v>
      </c>
      <c r="V196" t="s">
        <v>54</v>
      </c>
      <c r="W196" t="s">
        <v>41</v>
      </c>
      <c r="X196" t="s">
        <v>84</v>
      </c>
      <c r="Y196" t="s">
        <v>85</v>
      </c>
      <c r="Z196" t="s">
        <v>146</v>
      </c>
      <c r="AA196" t="s">
        <v>192</v>
      </c>
      <c r="AB196">
        <v>0</v>
      </c>
      <c r="AC196">
        <v>0</v>
      </c>
      <c r="AD196">
        <v>4</v>
      </c>
      <c r="AE196">
        <v>799.37</v>
      </c>
      <c r="AF196">
        <v>0</v>
      </c>
      <c r="AG196">
        <v>55.96</v>
      </c>
      <c r="AH196">
        <v>35.01</v>
      </c>
      <c r="AI196">
        <v>890.34</v>
      </c>
      <c r="AJ196">
        <v>350.09</v>
      </c>
      <c r="AK196">
        <v>505.24</v>
      </c>
      <c r="AL196">
        <v>56.75</v>
      </c>
      <c r="AM196">
        <v>11927.84</v>
      </c>
      <c r="AN196" t="b">
        <v>1</v>
      </c>
      <c r="AO196">
        <v>10</v>
      </c>
    </row>
    <row r="197" spans="1:41" x14ac:dyDescent="0.35">
      <c r="A197" t="s">
        <v>1005</v>
      </c>
      <c r="B197" s="1">
        <v>45571</v>
      </c>
      <c r="C197" s="2">
        <v>0.81111111111111112</v>
      </c>
      <c r="D197" t="s">
        <v>41</v>
      </c>
      <c r="E197" t="s">
        <v>77</v>
      </c>
      <c r="F197" t="s">
        <v>1006</v>
      </c>
      <c r="G197" t="s">
        <v>1007</v>
      </c>
      <c r="H197">
        <v>38</v>
      </c>
      <c r="I197" t="s">
        <v>43</v>
      </c>
      <c r="J197" t="s">
        <v>88</v>
      </c>
      <c r="K197" t="s">
        <v>45</v>
      </c>
      <c r="L197" t="s">
        <v>1008</v>
      </c>
      <c r="M197" t="s">
        <v>122</v>
      </c>
      <c r="N197" t="s">
        <v>123</v>
      </c>
      <c r="O197" t="s">
        <v>80</v>
      </c>
      <c r="P197">
        <v>27774</v>
      </c>
      <c r="Q197" t="s">
        <v>107</v>
      </c>
      <c r="R197" t="s">
        <v>50</v>
      </c>
      <c r="S197" t="s">
        <v>124</v>
      </c>
      <c r="T197" t="s">
        <v>82</v>
      </c>
      <c r="U197" t="s">
        <v>120</v>
      </c>
      <c r="V197" t="s">
        <v>54</v>
      </c>
      <c r="W197" t="s">
        <v>41</v>
      </c>
      <c r="X197" t="s">
        <v>172</v>
      </c>
      <c r="Y197" t="s">
        <v>108</v>
      </c>
      <c r="Z197" t="s">
        <v>245</v>
      </c>
      <c r="AA197" t="s">
        <v>76</v>
      </c>
      <c r="AB197">
        <v>0</v>
      </c>
      <c r="AC197">
        <v>0</v>
      </c>
      <c r="AD197">
        <v>1</v>
      </c>
      <c r="AE197">
        <v>180.43</v>
      </c>
      <c r="AF197">
        <v>0</v>
      </c>
      <c r="AG197">
        <v>36.090000000000003</v>
      </c>
      <c r="AH197">
        <v>19.649999999999999</v>
      </c>
      <c r="AI197">
        <v>236.17</v>
      </c>
      <c r="AJ197">
        <v>75.11</v>
      </c>
      <c r="AK197">
        <v>141.41</v>
      </c>
      <c r="AL197">
        <v>59.88</v>
      </c>
      <c r="AM197">
        <v>9043.2099999999991</v>
      </c>
      <c r="AN197" t="b">
        <v>1</v>
      </c>
      <c r="AO197">
        <v>8</v>
      </c>
    </row>
    <row r="198" spans="1:41" x14ac:dyDescent="0.35">
      <c r="A198" t="s">
        <v>1009</v>
      </c>
      <c r="B198" s="1">
        <v>45238</v>
      </c>
      <c r="C198" s="2">
        <v>0.40884259259259259</v>
      </c>
      <c r="D198" t="s">
        <v>41</v>
      </c>
      <c r="E198" t="s">
        <v>111</v>
      </c>
      <c r="F198" t="s">
        <v>1010</v>
      </c>
      <c r="G198" t="s">
        <v>1011</v>
      </c>
      <c r="H198">
        <v>34</v>
      </c>
      <c r="I198" t="s">
        <v>43</v>
      </c>
      <c r="J198" t="s">
        <v>44</v>
      </c>
      <c r="K198" t="s">
        <v>45</v>
      </c>
      <c r="L198" t="s">
        <v>1012</v>
      </c>
      <c r="M198" t="s">
        <v>142</v>
      </c>
      <c r="N198" t="s">
        <v>47</v>
      </c>
      <c r="O198" t="s">
        <v>70</v>
      </c>
      <c r="P198">
        <v>41532</v>
      </c>
      <c r="Q198" t="s">
        <v>107</v>
      </c>
      <c r="R198" t="s">
        <v>50</v>
      </c>
      <c r="S198" t="s">
        <v>51</v>
      </c>
      <c r="T198" t="s">
        <v>71</v>
      </c>
      <c r="U198" t="s">
        <v>145</v>
      </c>
      <c r="V198" t="s">
        <v>54</v>
      </c>
      <c r="W198" t="s">
        <v>41</v>
      </c>
      <c r="X198" t="s">
        <v>98</v>
      </c>
      <c r="Y198" t="s">
        <v>108</v>
      </c>
      <c r="Z198" t="s">
        <v>245</v>
      </c>
      <c r="AA198" t="s">
        <v>206</v>
      </c>
      <c r="AB198">
        <v>0</v>
      </c>
      <c r="AC198">
        <v>0</v>
      </c>
      <c r="AD198">
        <v>2</v>
      </c>
      <c r="AE198">
        <v>397.7</v>
      </c>
      <c r="AF198">
        <v>0</v>
      </c>
      <c r="AG198">
        <v>27.84</v>
      </c>
      <c r="AH198">
        <v>3.68</v>
      </c>
      <c r="AI198">
        <v>429.22</v>
      </c>
      <c r="AJ198">
        <v>148.55000000000001</v>
      </c>
      <c r="AK198">
        <v>276.99</v>
      </c>
      <c r="AL198">
        <v>64.53</v>
      </c>
      <c r="AM198">
        <v>4559.33</v>
      </c>
      <c r="AN198" t="b">
        <v>1</v>
      </c>
      <c r="AO198">
        <v>4</v>
      </c>
    </row>
    <row r="199" spans="1:41" x14ac:dyDescent="0.35">
      <c r="A199" t="s">
        <v>1013</v>
      </c>
      <c r="B199" s="1">
        <v>44480</v>
      </c>
      <c r="C199" s="2">
        <v>0.57799768518518524</v>
      </c>
      <c r="D199" t="s">
        <v>41</v>
      </c>
      <c r="E199" t="s">
        <v>111</v>
      </c>
      <c r="F199" t="s">
        <v>1014</v>
      </c>
      <c r="G199" t="s">
        <v>1015</v>
      </c>
      <c r="H199">
        <v>37</v>
      </c>
      <c r="I199" t="s">
        <v>43</v>
      </c>
      <c r="J199" t="s">
        <v>44</v>
      </c>
      <c r="K199" t="s">
        <v>45</v>
      </c>
      <c r="L199" t="s">
        <v>1016</v>
      </c>
      <c r="M199" t="s">
        <v>198</v>
      </c>
      <c r="N199" t="s">
        <v>47</v>
      </c>
      <c r="O199" t="s">
        <v>70</v>
      </c>
      <c r="P199">
        <v>66114</v>
      </c>
      <c r="Q199" t="s">
        <v>113</v>
      </c>
      <c r="R199" t="s">
        <v>50</v>
      </c>
      <c r="S199" t="s">
        <v>51</v>
      </c>
      <c r="T199" t="s">
        <v>71</v>
      </c>
      <c r="U199" t="s">
        <v>72</v>
      </c>
      <c r="V199" t="s">
        <v>54</v>
      </c>
      <c r="W199" t="s">
        <v>41</v>
      </c>
      <c r="X199" t="s">
        <v>176</v>
      </c>
      <c r="Y199" t="s">
        <v>74</v>
      </c>
      <c r="Z199" t="s">
        <v>139</v>
      </c>
      <c r="AA199" t="s">
        <v>76</v>
      </c>
      <c r="AB199">
        <v>0</v>
      </c>
      <c r="AC199">
        <v>0</v>
      </c>
      <c r="AD199">
        <v>5</v>
      </c>
      <c r="AE199">
        <v>1883.82</v>
      </c>
      <c r="AF199">
        <v>0</v>
      </c>
      <c r="AG199">
        <v>131.86000000000001</v>
      </c>
      <c r="AH199">
        <v>0.86</v>
      </c>
      <c r="AI199">
        <v>2016.54</v>
      </c>
      <c r="AJ199">
        <v>792.38</v>
      </c>
      <c r="AK199">
        <v>1223.3</v>
      </c>
      <c r="AL199">
        <v>60.66</v>
      </c>
      <c r="AM199">
        <v>3211.66</v>
      </c>
      <c r="AN199" t="b">
        <v>1</v>
      </c>
      <c r="AO199">
        <v>4</v>
      </c>
    </row>
    <row r="200" spans="1:41" x14ac:dyDescent="0.35">
      <c r="A200" t="s">
        <v>1017</v>
      </c>
      <c r="B200" s="1">
        <v>44419</v>
      </c>
      <c r="C200" s="2">
        <v>0.65243055555555551</v>
      </c>
      <c r="D200" t="s">
        <v>41</v>
      </c>
      <c r="E200" t="s">
        <v>42</v>
      </c>
      <c r="F200" t="s">
        <v>1018</v>
      </c>
      <c r="G200" t="s">
        <v>1019</v>
      </c>
      <c r="H200">
        <v>28</v>
      </c>
      <c r="I200" t="s">
        <v>78</v>
      </c>
      <c r="J200" t="s">
        <v>88</v>
      </c>
      <c r="K200" t="s">
        <v>45</v>
      </c>
      <c r="L200" t="s">
        <v>1020</v>
      </c>
      <c r="M200" t="s">
        <v>193</v>
      </c>
      <c r="N200" t="s">
        <v>47</v>
      </c>
      <c r="O200" t="s">
        <v>106</v>
      </c>
      <c r="P200">
        <v>57657</v>
      </c>
      <c r="Q200" t="s">
        <v>113</v>
      </c>
      <c r="R200" t="s">
        <v>50</v>
      </c>
      <c r="S200" t="s">
        <v>51</v>
      </c>
      <c r="T200" t="s">
        <v>52</v>
      </c>
      <c r="U200" t="s">
        <v>191</v>
      </c>
      <c r="V200" t="s">
        <v>54</v>
      </c>
      <c r="W200" t="s">
        <v>41</v>
      </c>
      <c r="X200" t="s">
        <v>156</v>
      </c>
      <c r="Y200" t="s">
        <v>85</v>
      </c>
      <c r="Z200" t="s">
        <v>86</v>
      </c>
      <c r="AA200" t="s">
        <v>336</v>
      </c>
      <c r="AB200">
        <v>0</v>
      </c>
      <c r="AC200">
        <v>0</v>
      </c>
      <c r="AD200">
        <v>5</v>
      </c>
      <c r="AE200">
        <v>1285.05</v>
      </c>
      <c r="AF200">
        <v>0</v>
      </c>
      <c r="AG200">
        <v>89.96</v>
      </c>
      <c r="AH200">
        <v>11.74</v>
      </c>
      <c r="AI200">
        <v>1386.75</v>
      </c>
      <c r="AJ200">
        <v>593.21</v>
      </c>
      <c r="AK200">
        <v>781.8</v>
      </c>
      <c r="AL200">
        <v>56.38</v>
      </c>
      <c r="AM200">
        <v>5459.67</v>
      </c>
      <c r="AN200" t="b">
        <v>1</v>
      </c>
      <c r="AO200">
        <v>5</v>
      </c>
    </row>
    <row r="201" spans="1:41" x14ac:dyDescent="0.35">
      <c r="A201" t="s">
        <v>1021</v>
      </c>
      <c r="B201" s="1">
        <v>45483</v>
      </c>
      <c r="C201" s="2">
        <v>0.24464120370370371</v>
      </c>
      <c r="D201" t="s">
        <v>41</v>
      </c>
      <c r="E201" t="s">
        <v>77</v>
      </c>
      <c r="F201" t="s">
        <v>1022</v>
      </c>
      <c r="G201" t="s">
        <v>1023</v>
      </c>
      <c r="H201">
        <v>38</v>
      </c>
      <c r="I201" t="s">
        <v>43</v>
      </c>
      <c r="J201" t="s">
        <v>88</v>
      </c>
      <c r="K201" t="s">
        <v>45</v>
      </c>
      <c r="L201" t="s">
        <v>1024</v>
      </c>
      <c r="M201" t="s">
        <v>116</v>
      </c>
      <c r="N201" t="s">
        <v>117</v>
      </c>
      <c r="O201" t="s">
        <v>118</v>
      </c>
      <c r="P201">
        <v>29924</v>
      </c>
      <c r="Q201" t="s">
        <v>81</v>
      </c>
      <c r="R201" t="s">
        <v>50</v>
      </c>
      <c r="S201" t="s">
        <v>119</v>
      </c>
      <c r="T201" t="s">
        <v>65</v>
      </c>
      <c r="U201" t="s">
        <v>191</v>
      </c>
      <c r="V201" t="s">
        <v>54</v>
      </c>
      <c r="W201" t="s">
        <v>41</v>
      </c>
      <c r="X201" t="s">
        <v>156</v>
      </c>
      <c r="Y201" t="s">
        <v>56</v>
      </c>
      <c r="Z201" t="s">
        <v>57</v>
      </c>
      <c r="AA201" t="s">
        <v>248</v>
      </c>
      <c r="AB201">
        <v>0</v>
      </c>
      <c r="AC201">
        <v>0</v>
      </c>
      <c r="AD201">
        <v>1</v>
      </c>
      <c r="AE201">
        <v>181.25</v>
      </c>
      <c r="AF201">
        <v>0</v>
      </c>
      <c r="AG201">
        <v>18.12</v>
      </c>
      <c r="AH201">
        <v>22.18</v>
      </c>
      <c r="AI201">
        <v>221.55</v>
      </c>
      <c r="AJ201">
        <v>74.58</v>
      </c>
      <c r="AK201">
        <v>124.79</v>
      </c>
      <c r="AL201">
        <v>56.33</v>
      </c>
      <c r="AM201">
        <v>7452.16</v>
      </c>
      <c r="AN201" t="b">
        <v>1</v>
      </c>
      <c r="AO201">
        <v>7</v>
      </c>
    </row>
    <row r="202" spans="1:41" x14ac:dyDescent="0.35">
      <c r="A202" t="s">
        <v>1025</v>
      </c>
      <c r="B202" s="1">
        <v>45942</v>
      </c>
      <c r="C202" s="2">
        <v>0.11388888888888889</v>
      </c>
      <c r="D202" t="s">
        <v>41</v>
      </c>
      <c r="E202" t="s">
        <v>111</v>
      </c>
      <c r="F202" t="s">
        <v>1026</v>
      </c>
      <c r="G202" t="s">
        <v>1027</v>
      </c>
      <c r="H202">
        <v>29</v>
      </c>
      <c r="I202" t="s">
        <v>43</v>
      </c>
      <c r="J202" t="s">
        <v>44</v>
      </c>
      <c r="K202" t="s">
        <v>45</v>
      </c>
      <c r="L202" t="s">
        <v>1028</v>
      </c>
      <c r="M202" t="s">
        <v>148</v>
      </c>
      <c r="N202" t="s">
        <v>47</v>
      </c>
      <c r="O202" t="s">
        <v>70</v>
      </c>
      <c r="P202">
        <v>47372</v>
      </c>
      <c r="Q202" t="s">
        <v>113</v>
      </c>
      <c r="R202" t="s">
        <v>50</v>
      </c>
      <c r="S202" t="s">
        <v>51</v>
      </c>
      <c r="T202" t="s">
        <v>52</v>
      </c>
      <c r="U202" t="s">
        <v>243</v>
      </c>
      <c r="V202" t="s">
        <v>54</v>
      </c>
      <c r="W202" t="s">
        <v>41</v>
      </c>
      <c r="X202" t="s">
        <v>55</v>
      </c>
      <c r="Y202" t="s">
        <v>93</v>
      </c>
      <c r="Z202" t="s">
        <v>359</v>
      </c>
      <c r="AA202" t="s">
        <v>58</v>
      </c>
      <c r="AB202">
        <v>0</v>
      </c>
      <c r="AC202">
        <v>0</v>
      </c>
      <c r="AD202">
        <v>6</v>
      </c>
      <c r="AE202">
        <v>1300.8399999999999</v>
      </c>
      <c r="AF202">
        <v>0</v>
      </c>
      <c r="AG202">
        <v>91.05</v>
      </c>
      <c r="AH202">
        <v>5.68</v>
      </c>
      <c r="AI202">
        <v>1397.57</v>
      </c>
      <c r="AJ202">
        <v>530.02</v>
      </c>
      <c r="AK202">
        <v>861.87</v>
      </c>
      <c r="AL202">
        <v>61.67</v>
      </c>
      <c r="AM202">
        <v>12235.05</v>
      </c>
      <c r="AN202" t="b">
        <v>1</v>
      </c>
      <c r="AO202">
        <v>10</v>
      </c>
    </row>
    <row r="203" spans="1:41" x14ac:dyDescent="0.35">
      <c r="A203" t="s">
        <v>1029</v>
      </c>
      <c r="B203" s="1">
        <v>45455</v>
      </c>
      <c r="C203" s="2">
        <v>0.75775462962962958</v>
      </c>
      <c r="D203" t="s">
        <v>41</v>
      </c>
      <c r="E203" t="s">
        <v>42</v>
      </c>
      <c r="F203" t="s">
        <v>1030</v>
      </c>
      <c r="G203" t="s">
        <v>1031</v>
      </c>
      <c r="H203">
        <v>38</v>
      </c>
      <c r="I203" t="s">
        <v>43</v>
      </c>
      <c r="J203" t="s">
        <v>68</v>
      </c>
      <c r="K203" t="s">
        <v>45</v>
      </c>
      <c r="L203" t="s">
        <v>1032</v>
      </c>
      <c r="M203" t="s">
        <v>46</v>
      </c>
      <c r="N203" t="s">
        <v>47</v>
      </c>
      <c r="O203" t="s">
        <v>48</v>
      </c>
      <c r="P203">
        <v>18683</v>
      </c>
      <c r="Q203" t="s">
        <v>63</v>
      </c>
      <c r="R203" t="s">
        <v>50</v>
      </c>
      <c r="S203" t="s">
        <v>51</v>
      </c>
      <c r="T203" t="s">
        <v>65</v>
      </c>
      <c r="U203" t="s">
        <v>243</v>
      </c>
      <c r="V203" t="s">
        <v>54</v>
      </c>
      <c r="W203" t="s">
        <v>41</v>
      </c>
      <c r="X203" t="s">
        <v>55</v>
      </c>
      <c r="Y203" t="s">
        <v>108</v>
      </c>
      <c r="Z203" t="s">
        <v>109</v>
      </c>
      <c r="AA203" t="s">
        <v>446</v>
      </c>
      <c r="AB203">
        <v>0</v>
      </c>
      <c r="AC203">
        <v>0</v>
      </c>
      <c r="AD203">
        <v>5</v>
      </c>
      <c r="AE203">
        <v>3312.1</v>
      </c>
      <c r="AF203">
        <v>0</v>
      </c>
      <c r="AG203">
        <v>231.84</v>
      </c>
      <c r="AH203">
        <v>34.43</v>
      </c>
      <c r="AI203">
        <v>3578.37</v>
      </c>
      <c r="AJ203">
        <v>1532.97</v>
      </c>
      <c r="AK203">
        <v>2010.97</v>
      </c>
      <c r="AL203">
        <v>56.2</v>
      </c>
      <c r="AM203">
        <v>7784.73</v>
      </c>
      <c r="AN203" t="b">
        <v>1</v>
      </c>
      <c r="AO203">
        <v>8</v>
      </c>
    </row>
    <row r="204" spans="1:41" x14ac:dyDescent="0.35">
      <c r="A204" t="s">
        <v>1033</v>
      </c>
      <c r="B204" s="1">
        <v>44204</v>
      </c>
      <c r="C204" s="2">
        <v>0.77690972222222221</v>
      </c>
      <c r="D204" t="s">
        <v>41</v>
      </c>
      <c r="E204" t="s">
        <v>42</v>
      </c>
      <c r="F204" t="s">
        <v>1034</v>
      </c>
      <c r="G204" t="s">
        <v>1035</v>
      </c>
      <c r="H204">
        <v>48</v>
      </c>
      <c r="I204" t="s">
        <v>78</v>
      </c>
      <c r="J204" t="s">
        <v>44</v>
      </c>
      <c r="K204" t="s">
        <v>45</v>
      </c>
      <c r="L204" t="s">
        <v>1036</v>
      </c>
      <c r="M204" t="s">
        <v>193</v>
      </c>
      <c r="N204" t="s">
        <v>47</v>
      </c>
      <c r="O204" t="s">
        <v>106</v>
      </c>
      <c r="P204">
        <v>92368</v>
      </c>
      <c r="Q204" t="s">
        <v>113</v>
      </c>
      <c r="R204" t="s">
        <v>50</v>
      </c>
      <c r="S204" t="s">
        <v>51</v>
      </c>
      <c r="T204" t="s">
        <v>71</v>
      </c>
      <c r="U204" t="s">
        <v>191</v>
      </c>
      <c r="V204" t="s">
        <v>54</v>
      </c>
      <c r="W204" t="s">
        <v>41</v>
      </c>
      <c r="X204" t="s">
        <v>73</v>
      </c>
      <c r="Y204" t="s">
        <v>56</v>
      </c>
      <c r="Z204" t="s">
        <v>57</v>
      </c>
      <c r="AA204" t="s">
        <v>115</v>
      </c>
      <c r="AB204">
        <v>0</v>
      </c>
      <c r="AC204">
        <v>0</v>
      </c>
      <c r="AD204">
        <v>5</v>
      </c>
      <c r="AE204">
        <v>629.95000000000005</v>
      </c>
      <c r="AF204">
        <v>0</v>
      </c>
      <c r="AG204">
        <v>44.1</v>
      </c>
      <c r="AH204">
        <v>4.0999999999999996</v>
      </c>
      <c r="AI204">
        <v>678.15</v>
      </c>
      <c r="AJ204">
        <v>288.26</v>
      </c>
      <c r="AK204">
        <v>385.79</v>
      </c>
      <c r="AL204">
        <v>56.89</v>
      </c>
      <c r="AM204">
        <v>7853.79</v>
      </c>
      <c r="AN204" t="b">
        <v>1</v>
      </c>
      <c r="AO204">
        <v>9</v>
      </c>
    </row>
    <row r="205" spans="1:41" x14ac:dyDescent="0.35">
      <c r="A205" t="s">
        <v>1037</v>
      </c>
      <c r="B205" s="1">
        <v>45537</v>
      </c>
      <c r="C205" s="2">
        <v>0.39743055555555556</v>
      </c>
      <c r="D205" t="s">
        <v>41</v>
      </c>
      <c r="E205" t="s">
        <v>111</v>
      </c>
      <c r="F205" t="s">
        <v>1038</v>
      </c>
      <c r="G205" t="s">
        <v>1039</v>
      </c>
      <c r="H205">
        <v>63</v>
      </c>
      <c r="I205" t="s">
        <v>43</v>
      </c>
      <c r="J205" t="s">
        <v>44</v>
      </c>
      <c r="K205" t="s">
        <v>45</v>
      </c>
      <c r="L205" t="s">
        <v>1040</v>
      </c>
      <c r="M205" t="s">
        <v>142</v>
      </c>
      <c r="N205" t="s">
        <v>47</v>
      </c>
      <c r="O205" t="s">
        <v>70</v>
      </c>
      <c r="P205">
        <v>73729</v>
      </c>
      <c r="Q205" t="s">
        <v>113</v>
      </c>
      <c r="R205" t="s">
        <v>50</v>
      </c>
      <c r="S205" t="s">
        <v>51</v>
      </c>
      <c r="T205" t="s">
        <v>71</v>
      </c>
      <c r="U205" t="s">
        <v>120</v>
      </c>
      <c r="V205" t="s">
        <v>54</v>
      </c>
      <c r="W205" t="s">
        <v>41</v>
      </c>
      <c r="X205" t="s">
        <v>84</v>
      </c>
      <c r="Y205" t="s">
        <v>131</v>
      </c>
      <c r="Z205" t="s">
        <v>227</v>
      </c>
      <c r="AA205" t="s">
        <v>67</v>
      </c>
      <c r="AB205">
        <v>0</v>
      </c>
      <c r="AC205">
        <v>0</v>
      </c>
      <c r="AD205">
        <v>7</v>
      </c>
      <c r="AE205">
        <v>930.85</v>
      </c>
      <c r="AF205">
        <v>0</v>
      </c>
      <c r="AG205">
        <v>65.16</v>
      </c>
      <c r="AH205">
        <v>45.93</v>
      </c>
      <c r="AI205">
        <v>1041.94</v>
      </c>
      <c r="AJ205">
        <v>403.64</v>
      </c>
      <c r="AK205">
        <v>592.37</v>
      </c>
      <c r="AL205">
        <v>56.85</v>
      </c>
      <c r="AM205">
        <v>12046.84</v>
      </c>
      <c r="AN205" t="b">
        <v>1</v>
      </c>
      <c r="AO205">
        <v>7</v>
      </c>
    </row>
    <row r="206" spans="1:41" x14ac:dyDescent="0.35">
      <c r="A206" t="s">
        <v>1041</v>
      </c>
      <c r="B206" s="1">
        <v>44866</v>
      </c>
      <c r="C206" s="2">
        <v>0.66196759259259264</v>
      </c>
      <c r="D206" t="s">
        <v>41</v>
      </c>
      <c r="E206" t="s">
        <v>111</v>
      </c>
      <c r="F206" t="s">
        <v>1042</v>
      </c>
      <c r="G206" t="s">
        <v>1043</v>
      </c>
      <c r="H206">
        <v>50</v>
      </c>
      <c r="I206" t="s">
        <v>78</v>
      </c>
      <c r="J206" t="s">
        <v>44</v>
      </c>
      <c r="K206" t="s">
        <v>45</v>
      </c>
      <c r="L206" t="s">
        <v>1044</v>
      </c>
      <c r="M206" t="s">
        <v>505</v>
      </c>
      <c r="N206" t="s">
        <v>165</v>
      </c>
      <c r="O206" t="s">
        <v>118</v>
      </c>
      <c r="P206">
        <v>709</v>
      </c>
      <c r="Q206" t="s">
        <v>113</v>
      </c>
      <c r="R206" t="s">
        <v>50</v>
      </c>
      <c r="S206" t="s">
        <v>166</v>
      </c>
      <c r="T206" t="s">
        <v>52</v>
      </c>
      <c r="U206" t="s">
        <v>53</v>
      </c>
      <c r="V206" t="s">
        <v>54</v>
      </c>
      <c r="W206" t="s">
        <v>41</v>
      </c>
      <c r="X206" t="s">
        <v>261</v>
      </c>
      <c r="Y206" t="s">
        <v>56</v>
      </c>
      <c r="Z206" t="s">
        <v>57</v>
      </c>
      <c r="AA206" t="s">
        <v>253</v>
      </c>
      <c r="AB206">
        <v>0</v>
      </c>
      <c r="AC206">
        <v>0</v>
      </c>
      <c r="AD206">
        <v>5</v>
      </c>
      <c r="AE206">
        <v>1648.85</v>
      </c>
      <c r="AF206">
        <v>0</v>
      </c>
      <c r="AG206">
        <v>82.45</v>
      </c>
      <c r="AH206">
        <v>32.17</v>
      </c>
      <c r="AI206">
        <v>1763.47</v>
      </c>
      <c r="AJ206">
        <v>890.88</v>
      </c>
      <c r="AK206">
        <v>840.42</v>
      </c>
      <c r="AL206">
        <v>47.66</v>
      </c>
      <c r="AM206">
        <v>12258.83</v>
      </c>
      <c r="AN206" t="b">
        <v>1</v>
      </c>
      <c r="AO206">
        <v>7</v>
      </c>
    </row>
    <row r="207" spans="1:41" x14ac:dyDescent="0.35">
      <c r="A207" t="s">
        <v>1045</v>
      </c>
      <c r="B207" s="1">
        <v>44774</v>
      </c>
      <c r="C207" s="2">
        <v>8.6122685185185191E-2</v>
      </c>
      <c r="D207" t="s">
        <v>41</v>
      </c>
      <c r="E207" t="s">
        <v>77</v>
      </c>
      <c r="F207" t="s">
        <v>1046</v>
      </c>
      <c r="G207" t="s">
        <v>1047</v>
      </c>
      <c r="H207">
        <v>61</v>
      </c>
      <c r="I207" t="s">
        <v>78</v>
      </c>
      <c r="J207" t="s">
        <v>88</v>
      </c>
      <c r="K207" t="s">
        <v>45</v>
      </c>
      <c r="L207" t="s">
        <v>1048</v>
      </c>
      <c r="M207" t="s">
        <v>154</v>
      </c>
      <c r="N207" t="s">
        <v>47</v>
      </c>
      <c r="O207" t="s">
        <v>48</v>
      </c>
      <c r="P207">
        <v>14580</v>
      </c>
      <c r="Q207" t="s">
        <v>81</v>
      </c>
      <c r="R207" t="s">
        <v>50</v>
      </c>
      <c r="S207" t="s">
        <v>51</v>
      </c>
      <c r="T207" t="s">
        <v>82</v>
      </c>
      <c r="U207" t="s">
        <v>66</v>
      </c>
      <c r="V207" t="s">
        <v>54</v>
      </c>
      <c r="W207" t="s">
        <v>41</v>
      </c>
      <c r="X207" t="s">
        <v>73</v>
      </c>
      <c r="Y207" t="s">
        <v>99</v>
      </c>
      <c r="Z207" t="s">
        <v>57</v>
      </c>
      <c r="AA207" t="s">
        <v>325</v>
      </c>
      <c r="AB207">
        <v>0</v>
      </c>
      <c r="AC207">
        <v>0</v>
      </c>
      <c r="AD207">
        <v>1</v>
      </c>
      <c r="AE207">
        <v>29.57</v>
      </c>
      <c r="AF207">
        <v>0</v>
      </c>
      <c r="AG207">
        <v>2.0699999999999998</v>
      </c>
      <c r="AH207">
        <v>24.02</v>
      </c>
      <c r="AI207">
        <v>55.66</v>
      </c>
      <c r="AJ207">
        <v>14.75</v>
      </c>
      <c r="AK207">
        <v>16.89</v>
      </c>
      <c r="AL207">
        <v>30.34</v>
      </c>
      <c r="AM207">
        <v>3617.46</v>
      </c>
      <c r="AN207" t="b">
        <v>1</v>
      </c>
      <c r="AO207">
        <v>7</v>
      </c>
    </row>
    <row r="208" spans="1:41" x14ac:dyDescent="0.35">
      <c r="A208" t="s">
        <v>1049</v>
      </c>
      <c r="B208" s="1">
        <v>44512</v>
      </c>
      <c r="C208" s="2">
        <v>0.50773148148148151</v>
      </c>
      <c r="D208" t="s">
        <v>41</v>
      </c>
      <c r="E208" t="s">
        <v>42</v>
      </c>
      <c r="F208" t="s">
        <v>1050</v>
      </c>
      <c r="G208" t="s">
        <v>1051</v>
      </c>
      <c r="H208">
        <v>59</v>
      </c>
      <c r="I208" t="s">
        <v>43</v>
      </c>
      <c r="J208" t="s">
        <v>88</v>
      </c>
      <c r="K208" t="s">
        <v>45</v>
      </c>
      <c r="L208" t="s">
        <v>1052</v>
      </c>
      <c r="M208" t="s">
        <v>160</v>
      </c>
      <c r="N208" t="s">
        <v>123</v>
      </c>
      <c r="O208" t="s">
        <v>118</v>
      </c>
      <c r="P208">
        <v>50367</v>
      </c>
      <c r="Q208" t="s">
        <v>113</v>
      </c>
      <c r="R208" t="s">
        <v>50</v>
      </c>
      <c r="S208" t="s">
        <v>124</v>
      </c>
      <c r="T208" t="s">
        <v>71</v>
      </c>
      <c r="U208" t="s">
        <v>83</v>
      </c>
      <c r="V208" t="s">
        <v>54</v>
      </c>
      <c r="W208" t="s">
        <v>41</v>
      </c>
      <c r="X208" t="s">
        <v>261</v>
      </c>
      <c r="Y208" t="s">
        <v>56</v>
      </c>
      <c r="Z208" t="s">
        <v>57</v>
      </c>
      <c r="AA208" t="s">
        <v>125</v>
      </c>
      <c r="AB208">
        <v>0</v>
      </c>
      <c r="AC208">
        <v>0</v>
      </c>
      <c r="AD208">
        <v>4</v>
      </c>
      <c r="AE208">
        <v>693.73</v>
      </c>
      <c r="AF208">
        <v>0</v>
      </c>
      <c r="AG208">
        <v>138.75</v>
      </c>
      <c r="AH208">
        <v>13.29</v>
      </c>
      <c r="AI208">
        <v>845.77</v>
      </c>
      <c r="AJ208">
        <v>353.41</v>
      </c>
      <c r="AK208">
        <v>479.07</v>
      </c>
      <c r="AL208">
        <v>56.64</v>
      </c>
      <c r="AM208">
        <v>14519.54</v>
      </c>
      <c r="AN208" t="b">
        <v>1</v>
      </c>
      <c r="AO208">
        <v>6</v>
      </c>
    </row>
    <row r="209" spans="1:41" x14ac:dyDescent="0.35">
      <c r="A209" t="s">
        <v>1053</v>
      </c>
      <c r="B209" s="1">
        <v>45839</v>
      </c>
      <c r="C209" s="2">
        <v>0.47216435185185185</v>
      </c>
      <c r="D209" t="s">
        <v>41</v>
      </c>
      <c r="E209" t="s">
        <v>77</v>
      </c>
      <c r="F209" t="s">
        <v>1054</v>
      </c>
      <c r="G209" t="s">
        <v>1055</v>
      </c>
      <c r="H209">
        <v>64</v>
      </c>
      <c r="I209" t="s">
        <v>78</v>
      </c>
      <c r="J209" t="s">
        <v>68</v>
      </c>
      <c r="K209" t="s">
        <v>45</v>
      </c>
      <c r="L209" t="s">
        <v>573</v>
      </c>
      <c r="M209" t="s">
        <v>46</v>
      </c>
      <c r="N209" t="s">
        <v>47</v>
      </c>
      <c r="O209" t="s">
        <v>48</v>
      </c>
      <c r="P209">
        <v>85094</v>
      </c>
      <c r="Q209" t="s">
        <v>107</v>
      </c>
      <c r="R209" t="s">
        <v>50</v>
      </c>
      <c r="S209" t="s">
        <v>51</v>
      </c>
      <c r="T209" t="s">
        <v>71</v>
      </c>
      <c r="U209" t="s">
        <v>163</v>
      </c>
      <c r="V209" t="s">
        <v>54</v>
      </c>
      <c r="W209" t="s">
        <v>41</v>
      </c>
      <c r="X209" t="s">
        <v>55</v>
      </c>
      <c r="Y209" t="s">
        <v>131</v>
      </c>
      <c r="Z209" t="s">
        <v>227</v>
      </c>
      <c r="AA209" t="s">
        <v>326</v>
      </c>
      <c r="AB209">
        <v>0</v>
      </c>
      <c r="AC209">
        <v>0</v>
      </c>
      <c r="AD209">
        <v>7</v>
      </c>
      <c r="AE209">
        <v>2986.17</v>
      </c>
      <c r="AF209">
        <v>0</v>
      </c>
      <c r="AG209">
        <v>209.03</v>
      </c>
      <c r="AH209">
        <v>7.27</v>
      </c>
      <c r="AI209">
        <v>3202.47</v>
      </c>
      <c r="AJ209">
        <v>1484.73</v>
      </c>
      <c r="AK209">
        <v>1710.47</v>
      </c>
      <c r="AL209">
        <v>53.41</v>
      </c>
      <c r="AM209">
        <v>15258.58</v>
      </c>
      <c r="AN209" t="b">
        <v>1</v>
      </c>
      <c r="AO209">
        <v>7</v>
      </c>
    </row>
    <row r="210" spans="1:41" x14ac:dyDescent="0.35">
      <c r="A210" t="s">
        <v>1056</v>
      </c>
      <c r="B210" s="1">
        <v>45118</v>
      </c>
      <c r="C210" s="2">
        <v>0.81090277777777775</v>
      </c>
      <c r="D210" t="s">
        <v>41</v>
      </c>
      <c r="E210" t="s">
        <v>59</v>
      </c>
      <c r="F210" t="s">
        <v>1057</v>
      </c>
      <c r="G210" t="s">
        <v>1058</v>
      </c>
      <c r="H210">
        <v>54</v>
      </c>
      <c r="I210" t="s">
        <v>78</v>
      </c>
      <c r="J210" t="s">
        <v>60</v>
      </c>
      <c r="K210" t="s">
        <v>45</v>
      </c>
      <c r="L210" t="s">
        <v>1059</v>
      </c>
      <c r="M210" t="s">
        <v>148</v>
      </c>
      <c r="N210" t="s">
        <v>47</v>
      </c>
      <c r="O210" t="s">
        <v>70</v>
      </c>
      <c r="P210">
        <v>36472</v>
      </c>
      <c r="Q210" t="s">
        <v>96</v>
      </c>
      <c r="R210" t="s">
        <v>50</v>
      </c>
      <c r="S210" t="s">
        <v>51</v>
      </c>
      <c r="T210" t="s">
        <v>52</v>
      </c>
      <c r="U210" t="s">
        <v>221</v>
      </c>
      <c r="V210" t="s">
        <v>54</v>
      </c>
      <c r="W210" t="s">
        <v>41</v>
      </c>
      <c r="X210" t="s">
        <v>176</v>
      </c>
      <c r="Y210" t="s">
        <v>56</v>
      </c>
      <c r="Z210" t="s">
        <v>57</v>
      </c>
      <c r="AA210" t="s">
        <v>158</v>
      </c>
      <c r="AB210">
        <v>0</v>
      </c>
      <c r="AC210">
        <v>0</v>
      </c>
      <c r="AD210">
        <v>2</v>
      </c>
      <c r="AE210">
        <v>1416.84</v>
      </c>
      <c r="AF210">
        <v>0</v>
      </c>
      <c r="AG210">
        <v>99.18</v>
      </c>
      <c r="AH210">
        <v>8.61</v>
      </c>
      <c r="AI210">
        <v>1524.63</v>
      </c>
      <c r="AJ210">
        <v>669.71</v>
      </c>
      <c r="AK210">
        <v>846.31</v>
      </c>
      <c r="AL210">
        <v>55.51</v>
      </c>
      <c r="AM210">
        <v>10629.83</v>
      </c>
      <c r="AN210" t="b">
        <v>1</v>
      </c>
      <c r="AO210">
        <v>9</v>
      </c>
    </row>
    <row r="211" spans="1:41" x14ac:dyDescent="0.35">
      <c r="A211" t="s">
        <v>1060</v>
      </c>
      <c r="B211" s="1">
        <v>45570</v>
      </c>
      <c r="C211" s="2">
        <v>0.91206018518518517</v>
      </c>
      <c r="D211" t="s">
        <v>41</v>
      </c>
      <c r="E211" t="s">
        <v>77</v>
      </c>
      <c r="F211" t="s">
        <v>1061</v>
      </c>
      <c r="G211" t="s">
        <v>1062</v>
      </c>
      <c r="H211">
        <v>73</v>
      </c>
      <c r="I211" t="s">
        <v>43</v>
      </c>
      <c r="J211" t="s">
        <v>68</v>
      </c>
      <c r="K211" t="s">
        <v>152</v>
      </c>
      <c r="L211" t="s">
        <v>1063</v>
      </c>
      <c r="M211" t="s">
        <v>348</v>
      </c>
      <c r="N211" t="s">
        <v>338</v>
      </c>
      <c r="O211" t="s">
        <v>80</v>
      </c>
      <c r="P211">
        <v>79790</v>
      </c>
      <c r="Q211" t="s">
        <v>107</v>
      </c>
      <c r="R211" t="s">
        <v>50</v>
      </c>
      <c r="S211" t="s">
        <v>339</v>
      </c>
      <c r="T211" t="s">
        <v>65</v>
      </c>
      <c r="U211" t="s">
        <v>143</v>
      </c>
      <c r="V211" t="s">
        <v>54</v>
      </c>
      <c r="W211" t="s">
        <v>41</v>
      </c>
      <c r="X211" t="s">
        <v>84</v>
      </c>
      <c r="Y211" t="s">
        <v>56</v>
      </c>
      <c r="Z211" t="s">
        <v>57</v>
      </c>
      <c r="AA211" t="s">
        <v>147</v>
      </c>
      <c r="AB211">
        <v>0</v>
      </c>
      <c r="AC211">
        <v>0</v>
      </c>
      <c r="AD211">
        <v>7</v>
      </c>
      <c r="AE211">
        <v>1348.6</v>
      </c>
      <c r="AF211">
        <v>0</v>
      </c>
      <c r="AG211">
        <v>242.75</v>
      </c>
      <c r="AH211">
        <v>21.83</v>
      </c>
      <c r="AI211">
        <v>1613.18</v>
      </c>
      <c r="AJ211">
        <v>602.67999999999995</v>
      </c>
      <c r="AK211">
        <v>988.67</v>
      </c>
      <c r="AL211">
        <v>61.29</v>
      </c>
      <c r="AM211">
        <v>3799.58</v>
      </c>
      <c r="AN211" t="b">
        <v>1</v>
      </c>
      <c r="AO211">
        <v>3</v>
      </c>
    </row>
    <row r="212" spans="1:41" x14ac:dyDescent="0.35">
      <c r="A212" t="s">
        <v>1064</v>
      </c>
      <c r="B212" s="1">
        <v>44690</v>
      </c>
      <c r="C212" s="2">
        <v>0.87437500000000001</v>
      </c>
      <c r="D212" t="s">
        <v>41</v>
      </c>
      <c r="E212" t="s">
        <v>59</v>
      </c>
      <c r="F212" t="s">
        <v>1065</v>
      </c>
      <c r="G212" t="s">
        <v>1066</v>
      </c>
      <c r="H212">
        <v>55</v>
      </c>
      <c r="I212" t="s">
        <v>43</v>
      </c>
      <c r="J212" t="s">
        <v>68</v>
      </c>
      <c r="K212" t="s">
        <v>45</v>
      </c>
      <c r="L212" t="s">
        <v>1067</v>
      </c>
      <c r="M212" t="s">
        <v>79</v>
      </c>
      <c r="N212" t="s">
        <v>47</v>
      </c>
      <c r="O212" t="s">
        <v>80</v>
      </c>
      <c r="P212">
        <v>87015</v>
      </c>
      <c r="Q212" t="s">
        <v>107</v>
      </c>
      <c r="R212" t="s">
        <v>50</v>
      </c>
      <c r="S212" t="s">
        <v>51</v>
      </c>
      <c r="T212" t="s">
        <v>52</v>
      </c>
      <c r="U212" t="s">
        <v>72</v>
      </c>
      <c r="V212" t="s">
        <v>54</v>
      </c>
      <c r="W212" t="s">
        <v>41</v>
      </c>
      <c r="X212" t="s">
        <v>73</v>
      </c>
      <c r="Y212" t="s">
        <v>349</v>
      </c>
      <c r="Z212" t="s">
        <v>57</v>
      </c>
      <c r="AA212" t="s">
        <v>67</v>
      </c>
      <c r="AB212">
        <v>0</v>
      </c>
      <c r="AC212">
        <v>0</v>
      </c>
      <c r="AD212">
        <v>1</v>
      </c>
      <c r="AE212">
        <v>26.36</v>
      </c>
      <c r="AF212">
        <v>0</v>
      </c>
      <c r="AG212">
        <v>1.85</v>
      </c>
      <c r="AH212">
        <v>2.5</v>
      </c>
      <c r="AI212">
        <v>30.71</v>
      </c>
      <c r="AJ212">
        <v>10.75</v>
      </c>
      <c r="AK212">
        <v>17.46</v>
      </c>
      <c r="AL212">
        <v>56.85</v>
      </c>
      <c r="AM212">
        <v>12314.34</v>
      </c>
      <c r="AN212" t="b">
        <v>1</v>
      </c>
      <c r="AO212">
        <v>12</v>
      </c>
    </row>
    <row r="213" spans="1:41" x14ac:dyDescent="0.35">
      <c r="A213" t="s">
        <v>1068</v>
      </c>
      <c r="B213" s="1">
        <v>44475</v>
      </c>
      <c r="C213" s="2">
        <v>0.38140046296296298</v>
      </c>
      <c r="D213" t="s">
        <v>41</v>
      </c>
      <c r="E213" t="s">
        <v>77</v>
      </c>
      <c r="F213" t="s">
        <v>1069</v>
      </c>
      <c r="G213" t="s">
        <v>1070</v>
      </c>
      <c r="H213">
        <v>50</v>
      </c>
      <c r="I213" t="s">
        <v>43</v>
      </c>
      <c r="J213" t="s">
        <v>44</v>
      </c>
      <c r="K213" t="s">
        <v>45</v>
      </c>
      <c r="L213" t="s">
        <v>1071</v>
      </c>
      <c r="M213" t="s">
        <v>142</v>
      </c>
      <c r="N213" t="s">
        <v>47</v>
      </c>
      <c r="O213" t="s">
        <v>70</v>
      </c>
      <c r="P213">
        <v>13794</v>
      </c>
      <c r="Q213" t="s">
        <v>49</v>
      </c>
      <c r="R213" t="s">
        <v>50</v>
      </c>
      <c r="S213" t="s">
        <v>51</v>
      </c>
      <c r="T213" t="s">
        <v>52</v>
      </c>
      <c r="U213" t="s">
        <v>138</v>
      </c>
      <c r="V213" t="s">
        <v>54</v>
      </c>
      <c r="W213" t="s">
        <v>41</v>
      </c>
      <c r="X213" t="s">
        <v>176</v>
      </c>
      <c r="Y213" t="s">
        <v>212</v>
      </c>
      <c r="Z213" t="s">
        <v>228</v>
      </c>
      <c r="AA213" t="s">
        <v>253</v>
      </c>
      <c r="AB213">
        <v>0</v>
      </c>
      <c r="AC213">
        <v>0</v>
      </c>
      <c r="AD213">
        <v>14</v>
      </c>
      <c r="AE213">
        <v>1749.58</v>
      </c>
      <c r="AF213">
        <v>0</v>
      </c>
      <c r="AG213">
        <v>122.46</v>
      </c>
      <c r="AH213">
        <v>29.42</v>
      </c>
      <c r="AI213">
        <v>1901.46</v>
      </c>
      <c r="AJ213">
        <v>827.19</v>
      </c>
      <c r="AK213">
        <v>1044.8499999999999</v>
      </c>
      <c r="AL213">
        <v>54.95</v>
      </c>
      <c r="AM213">
        <v>10089.6</v>
      </c>
      <c r="AN213" t="b">
        <v>1</v>
      </c>
      <c r="AO213">
        <v>7</v>
      </c>
    </row>
    <row r="214" spans="1:41" x14ac:dyDescent="0.35">
      <c r="A214" t="s">
        <v>1072</v>
      </c>
      <c r="B214" s="1">
        <v>44744</v>
      </c>
      <c r="C214" s="2">
        <v>0.74035879629629631</v>
      </c>
      <c r="D214" t="s">
        <v>41</v>
      </c>
      <c r="E214" t="s">
        <v>42</v>
      </c>
      <c r="F214" t="s">
        <v>1073</v>
      </c>
      <c r="G214" t="s">
        <v>1074</v>
      </c>
      <c r="H214">
        <v>27</v>
      </c>
      <c r="I214" t="s">
        <v>43</v>
      </c>
      <c r="J214" t="s">
        <v>88</v>
      </c>
      <c r="K214" t="s">
        <v>45</v>
      </c>
      <c r="L214" t="s">
        <v>1075</v>
      </c>
      <c r="M214" t="s">
        <v>193</v>
      </c>
      <c r="N214" t="s">
        <v>47</v>
      </c>
      <c r="O214" t="s">
        <v>106</v>
      </c>
      <c r="P214">
        <v>95641</v>
      </c>
      <c r="Q214" t="s">
        <v>96</v>
      </c>
      <c r="R214" t="s">
        <v>50</v>
      </c>
      <c r="S214" t="s">
        <v>51</v>
      </c>
      <c r="T214" t="s">
        <v>52</v>
      </c>
      <c r="U214" t="s">
        <v>53</v>
      </c>
      <c r="V214" t="s">
        <v>54</v>
      </c>
      <c r="W214" t="s">
        <v>41</v>
      </c>
      <c r="X214" t="s">
        <v>156</v>
      </c>
      <c r="Y214" t="s">
        <v>212</v>
      </c>
      <c r="Z214" t="s">
        <v>228</v>
      </c>
      <c r="AA214" t="s">
        <v>87</v>
      </c>
      <c r="AB214">
        <v>0</v>
      </c>
      <c r="AC214">
        <v>0</v>
      </c>
      <c r="AD214">
        <v>4</v>
      </c>
      <c r="AE214">
        <v>311.33999999999997</v>
      </c>
      <c r="AF214">
        <v>0</v>
      </c>
      <c r="AG214">
        <v>21.8</v>
      </c>
      <c r="AH214">
        <v>11.33</v>
      </c>
      <c r="AI214">
        <v>344.47</v>
      </c>
      <c r="AJ214">
        <v>142.97</v>
      </c>
      <c r="AK214">
        <v>190.17</v>
      </c>
      <c r="AL214">
        <v>55.21</v>
      </c>
      <c r="AM214">
        <v>5270.66</v>
      </c>
      <c r="AN214" t="b">
        <v>1</v>
      </c>
      <c r="AO214">
        <v>8</v>
      </c>
    </row>
    <row r="215" spans="1:41" x14ac:dyDescent="0.35">
      <c r="A215" t="s">
        <v>1076</v>
      </c>
      <c r="B215" s="1">
        <v>45265</v>
      </c>
      <c r="C215" s="2">
        <v>0.80284722222222227</v>
      </c>
      <c r="D215" t="s">
        <v>41</v>
      </c>
      <c r="E215" t="s">
        <v>42</v>
      </c>
      <c r="F215" t="s">
        <v>1077</v>
      </c>
      <c r="G215" t="s">
        <v>1078</v>
      </c>
      <c r="H215">
        <v>58</v>
      </c>
      <c r="I215" t="s">
        <v>43</v>
      </c>
      <c r="J215" t="s">
        <v>68</v>
      </c>
      <c r="K215" t="s">
        <v>45</v>
      </c>
      <c r="L215" t="s">
        <v>1079</v>
      </c>
      <c r="M215" t="s">
        <v>148</v>
      </c>
      <c r="N215" t="s">
        <v>47</v>
      </c>
      <c r="O215" t="s">
        <v>70</v>
      </c>
      <c r="P215">
        <v>89357</v>
      </c>
      <c r="Q215" t="s">
        <v>113</v>
      </c>
      <c r="R215" t="s">
        <v>50</v>
      </c>
      <c r="S215" t="s">
        <v>51</v>
      </c>
      <c r="T215" t="s">
        <v>52</v>
      </c>
      <c r="U215" t="s">
        <v>53</v>
      </c>
      <c r="V215" t="s">
        <v>54</v>
      </c>
      <c r="W215" t="s">
        <v>41</v>
      </c>
      <c r="X215" t="s">
        <v>156</v>
      </c>
      <c r="Y215" t="s">
        <v>108</v>
      </c>
      <c r="Z215" t="s">
        <v>245</v>
      </c>
      <c r="AA215" t="s">
        <v>203</v>
      </c>
      <c r="AB215">
        <v>0</v>
      </c>
      <c r="AC215">
        <v>0</v>
      </c>
      <c r="AD215">
        <v>9</v>
      </c>
      <c r="AE215">
        <v>1309.3599999999999</v>
      </c>
      <c r="AF215">
        <v>0</v>
      </c>
      <c r="AG215">
        <v>91.65</v>
      </c>
      <c r="AH215">
        <v>10.42</v>
      </c>
      <c r="AI215">
        <v>1411.43</v>
      </c>
      <c r="AJ215">
        <v>627.55999999999995</v>
      </c>
      <c r="AK215">
        <v>773.45</v>
      </c>
      <c r="AL215">
        <v>54.8</v>
      </c>
      <c r="AM215">
        <v>5434.19</v>
      </c>
      <c r="AN215" t="b">
        <v>1</v>
      </c>
      <c r="AO215">
        <v>4</v>
      </c>
    </row>
    <row r="216" spans="1:41" x14ac:dyDescent="0.35">
      <c r="A216" t="s">
        <v>1080</v>
      </c>
      <c r="B216" s="1">
        <v>45079</v>
      </c>
      <c r="C216" s="2">
        <v>0.27615740740740741</v>
      </c>
      <c r="D216" t="s">
        <v>41</v>
      </c>
      <c r="E216" t="s">
        <v>42</v>
      </c>
      <c r="F216" t="s">
        <v>1081</v>
      </c>
      <c r="G216" t="s">
        <v>1082</v>
      </c>
      <c r="H216">
        <v>50</v>
      </c>
      <c r="I216" t="s">
        <v>78</v>
      </c>
      <c r="J216" t="s">
        <v>88</v>
      </c>
      <c r="K216" t="s">
        <v>45</v>
      </c>
      <c r="L216" t="s">
        <v>1083</v>
      </c>
      <c r="M216" t="s">
        <v>174</v>
      </c>
      <c r="N216" t="s">
        <v>117</v>
      </c>
      <c r="O216" t="s">
        <v>70</v>
      </c>
      <c r="P216">
        <v>87294</v>
      </c>
      <c r="Q216" t="s">
        <v>81</v>
      </c>
      <c r="R216" t="s">
        <v>50</v>
      </c>
      <c r="S216" t="s">
        <v>119</v>
      </c>
      <c r="T216" t="s">
        <v>52</v>
      </c>
      <c r="U216" t="s">
        <v>163</v>
      </c>
      <c r="V216" t="s">
        <v>54</v>
      </c>
      <c r="W216" t="s">
        <v>41</v>
      </c>
      <c r="X216" t="s">
        <v>84</v>
      </c>
      <c r="Y216" t="s">
        <v>56</v>
      </c>
      <c r="Z216" t="s">
        <v>57</v>
      </c>
      <c r="AA216" t="s">
        <v>283</v>
      </c>
      <c r="AB216">
        <v>0</v>
      </c>
      <c r="AC216">
        <v>0</v>
      </c>
      <c r="AD216">
        <v>10</v>
      </c>
      <c r="AE216">
        <v>2137.6</v>
      </c>
      <c r="AF216">
        <v>0</v>
      </c>
      <c r="AG216">
        <v>213.76</v>
      </c>
      <c r="AH216">
        <v>63.93</v>
      </c>
      <c r="AI216">
        <v>2415.29</v>
      </c>
      <c r="AJ216">
        <v>1038.5</v>
      </c>
      <c r="AK216">
        <v>1312.86</v>
      </c>
      <c r="AL216">
        <v>54.36</v>
      </c>
      <c r="AM216">
        <v>7592.36</v>
      </c>
      <c r="AN216" t="b">
        <v>1</v>
      </c>
      <c r="AO216">
        <v>6</v>
      </c>
    </row>
    <row r="217" spans="1:41" x14ac:dyDescent="0.35">
      <c r="A217" t="s">
        <v>1084</v>
      </c>
      <c r="B217" s="1">
        <v>44228</v>
      </c>
      <c r="C217" s="2">
        <v>0.76996527777777779</v>
      </c>
      <c r="D217" t="s">
        <v>41</v>
      </c>
      <c r="E217" t="s">
        <v>77</v>
      </c>
      <c r="F217" t="s">
        <v>1085</v>
      </c>
      <c r="G217" t="s">
        <v>1086</v>
      </c>
      <c r="H217">
        <v>49</v>
      </c>
      <c r="I217" t="s">
        <v>43</v>
      </c>
      <c r="J217" t="s">
        <v>60</v>
      </c>
      <c r="K217" t="s">
        <v>45</v>
      </c>
      <c r="L217" t="s">
        <v>1087</v>
      </c>
      <c r="M217" t="s">
        <v>89</v>
      </c>
      <c r="N217" t="s">
        <v>90</v>
      </c>
      <c r="O217" t="s">
        <v>48</v>
      </c>
      <c r="P217">
        <v>88115</v>
      </c>
      <c r="Q217" t="s">
        <v>113</v>
      </c>
      <c r="R217" t="s">
        <v>50</v>
      </c>
      <c r="S217" t="s">
        <v>91</v>
      </c>
      <c r="T217" t="s">
        <v>52</v>
      </c>
      <c r="U217" t="s">
        <v>155</v>
      </c>
      <c r="V217" t="s">
        <v>54</v>
      </c>
      <c r="W217" t="s">
        <v>41</v>
      </c>
      <c r="X217" t="s">
        <v>156</v>
      </c>
      <c r="Y217" t="s">
        <v>99</v>
      </c>
      <c r="Z217" t="s">
        <v>57</v>
      </c>
      <c r="AA217" t="s">
        <v>274</v>
      </c>
      <c r="AB217">
        <v>0</v>
      </c>
      <c r="AC217">
        <v>0</v>
      </c>
      <c r="AD217">
        <v>5</v>
      </c>
      <c r="AE217">
        <v>421.39</v>
      </c>
      <c r="AF217">
        <v>0</v>
      </c>
      <c r="AG217">
        <v>54.78</v>
      </c>
      <c r="AH217">
        <v>17.309999999999999</v>
      </c>
      <c r="AI217">
        <v>493.48</v>
      </c>
      <c r="AJ217">
        <v>194.08</v>
      </c>
      <c r="AK217">
        <v>282.08999999999997</v>
      </c>
      <c r="AL217">
        <v>57.16</v>
      </c>
      <c r="AM217">
        <v>5997.45</v>
      </c>
      <c r="AN217" t="b">
        <v>1</v>
      </c>
      <c r="AO217">
        <v>6</v>
      </c>
    </row>
    <row r="218" spans="1:41" x14ac:dyDescent="0.35">
      <c r="A218" t="s">
        <v>1088</v>
      </c>
      <c r="B218" s="1">
        <v>44505</v>
      </c>
      <c r="C218" s="2">
        <v>0.28924768518518518</v>
      </c>
      <c r="D218" t="s">
        <v>41</v>
      </c>
      <c r="E218" t="s">
        <v>42</v>
      </c>
      <c r="F218" t="s">
        <v>1089</v>
      </c>
      <c r="G218" t="s">
        <v>1090</v>
      </c>
      <c r="H218">
        <v>26</v>
      </c>
      <c r="I218" t="s">
        <v>173</v>
      </c>
      <c r="J218" t="s">
        <v>60</v>
      </c>
      <c r="K218" t="s">
        <v>45</v>
      </c>
      <c r="L218" t="s">
        <v>1091</v>
      </c>
      <c r="M218" t="s">
        <v>112</v>
      </c>
      <c r="N218" t="s">
        <v>47</v>
      </c>
      <c r="O218" t="s">
        <v>48</v>
      </c>
      <c r="P218">
        <v>22444</v>
      </c>
      <c r="Q218" t="s">
        <v>113</v>
      </c>
      <c r="R218" t="s">
        <v>50</v>
      </c>
      <c r="S218" t="s">
        <v>51</v>
      </c>
      <c r="T218" t="s">
        <v>52</v>
      </c>
      <c r="U218" t="s">
        <v>83</v>
      </c>
      <c r="V218" t="s">
        <v>54</v>
      </c>
      <c r="W218" t="s">
        <v>41</v>
      </c>
      <c r="X218" t="s">
        <v>172</v>
      </c>
      <c r="Y218" t="s">
        <v>56</v>
      </c>
      <c r="Z218" t="s">
        <v>57</v>
      </c>
      <c r="AA218" t="s">
        <v>247</v>
      </c>
      <c r="AB218">
        <v>0</v>
      </c>
      <c r="AC218">
        <v>0</v>
      </c>
      <c r="AD218">
        <v>6</v>
      </c>
      <c r="AE218">
        <v>1820.54</v>
      </c>
      <c r="AF218">
        <v>0</v>
      </c>
      <c r="AG218">
        <v>127.44</v>
      </c>
      <c r="AH218">
        <v>38.83</v>
      </c>
      <c r="AI218">
        <v>1986.81</v>
      </c>
      <c r="AJ218">
        <v>892.17</v>
      </c>
      <c r="AK218">
        <v>1055.81</v>
      </c>
      <c r="AL218">
        <v>53.14</v>
      </c>
      <c r="AM218">
        <v>4895.4799999999996</v>
      </c>
      <c r="AN218" t="b">
        <v>1</v>
      </c>
      <c r="AO218">
        <v>6</v>
      </c>
    </row>
    <row r="219" spans="1:41" x14ac:dyDescent="0.35">
      <c r="A219" t="s">
        <v>1092</v>
      </c>
      <c r="B219" s="1">
        <v>44632</v>
      </c>
      <c r="C219" s="2">
        <v>0.96138888888888885</v>
      </c>
      <c r="D219" t="s">
        <v>41</v>
      </c>
      <c r="E219" t="s">
        <v>42</v>
      </c>
      <c r="F219" t="s">
        <v>1093</v>
      </c>
      <c r="G219" t="s">
        <v>1094</v>
      </c>
      <c r="H219">
        <v>71</v>
      </c>
      <c r="I219" t="s">
        <v>43</v>
      </c>
      <c r="J219" t="s">
        <v>88</v>
      </c>
      <c r="K219" t="s">
        <v>45</v>
      </c>
      <c r="L219" t="s">
        <v>1095</v>
      </c>
      <c r="M219" t="s">
        <v>233</v>
      </c>
      <c r="N219" t="s">
        <v>62</v>
      </c>
      <c r="O219" t="s">
        <v>70</v>
      </c>
      <c r="P219">
        <v>77359</v>
      </c>
      <c r="Q219" t="s">
        <v>107</v>
      </c>
      <c r="R219" t="s">
        <v>50</v>
      </c>
      <c r="S219" t="s">
        <v>64</v>
      </c>
      <c r="T219" t="s">
        <v>82</v>
      </c>
      <c r="U219" t="s">
        <v>143</v>
      </c>
      <c r="V219" t="s">
        <v>54</v>
      </c>
      <c r="W219" t="s">
        <v>41</v>
      </c>
      <c r="X219" t="s">
        <v>55</v>
      </c>
      <c r="Y219" t="s">
        <v>99</v>
      </c>
      <c r="Z219" t="s">
        <v>57</v>
      </c>
      <c r="AA219" t="s">
        <v>100</v>
      </c>
      <c r="AB219">
        <v>0</v>
      </c>
      <c r="AC219">
        <v>0</v>
      </c>
      <c r="AD219">
        <v>4</v>
      </c>
      <c r="AE219">
        <v>160.63999999999999</v>
      </c>
      <c r="AF219">
        <v>0</v>
      </c>
      <c r="AG219">
        <v>30.52</v>
      </c>
      <c r="AH219">
        <v>19.71</v>
      </c>
      <c r="AI219">
        <v>210.87</v>
      </c>
      <c r="AJ219">
        <v>68.88</v>
      </c>
      <c r="AK219">
        <v>122.28</v>
      </c>
      <c r="AL219">
        <v>57.99</v>
      </c>
      <c r="AM219">
        <v>8812.2199999999993</v>
      </c>
      <c r="AN219" t="b">
        <v>1</v>
      </c>
      <c r="AO219">
        <v>6</v>
      </c>
    </row>
    <row r="220" spans="1:41" x14ac:dyDescent="0.35">
      <c r="A220" t="s">
        <v>1096</v>
      </c>
      <c r="B220" s="1">
        <v>45238</v>
      </c>
      <c r="C220" s="2">
        <v>0.35760416666666667</v>
      </c>
      <c r="D220" t="s">
        <v>41</v>
      </c>
      <c r="E220" t="s">
        <v>42</v>
      </c>
      <c r="F220" t="s">
        <v>1097</v>
      </c>
      <c r="G220" t="s">
        <v>1098</v>
      </c>
      <c r="H220">
        <v>27</v>
      </c>
      <c r="I220" t="s">
        <v>78</v>
      </c>
      <c r="J220" t="s">
        <v>44</v>
      </c>
      <c r="K220" t="s">
        <v>45</v>
      </c>
      <c r="L220" t="s">
        <v>1099</v>
      </c>
      <c r="M220" t="s">
        <v>148</v>
      </c>
      <c r="N220" t="s">
        <v>47</v>
      </c>
      <c r="O220" t="s">
        <v>70</v>
      </c>
      <c r="P220">
        <v>75924</v>
      </c>
      <c r="Q220" t="s">
        <v>96</v>
      </c>
      <c r="R220" t="s">
        <v>50</v>
      </c>
      <c r="S220" t="s">
        <v>51</v>
      </c>
      <c r="T220" t="s">
        <v>71</v>
      </c>
      <c r="U220" t="s">
        <v>66</v>
      </c>
      <c r="V220" t="s">
        <v>54</v>
      </c>
      <c r="W220" t="s">
        <v>41</v>
      </c>
      <c r="X220" t="s">
        <v>84</v>
      </c>
      <c r="Y220" t="s">
        <v>99</v>
      </c>
      <c r="Z220" t="s">
        <v>57</v>
      </c>
      <c r="AA220" t="s">
        <v>222</v>
      </c>
      <c r="AB220">
        <v>0</v>
      </c>
      <c r="AC220">
        <v>0</v>
      </c>
      <c r="AD220">
        <v>7</v>
      </c>
      <c r="AE220">
        <v>1016</v>
      </c>
      <c r="AF220">
        <v>0</v>
      </c>
      <c r="AG220">
        <v>71.13</v>
      </c>
      <c r="AH220">
        <v>15.4</v>
      </c>
      <c r="AI220">
        <v>1102.53</v>
      </c>
      <c r="AJ220">
        <v>432.15</v>
      </c>
      <c r="AK220">
        <v>654.98</v>
      </c>
      <c r="AL220">
        <v>59.41</v>
      </c>
      <c r="AM220">
        <v>2051.87</v>
      </c>
      <c r="AN220" t="b">
        <v>1</v>
      </c>
      <c r="AO220">
        <v>5</v>
      </c>
    </row>
    <row r="221" spans="1:41" x14ac:dyDescent="0.35">
      <c r="A221" t="s">
        <v>1100</v>
      </c>
      <c r="B221" s="1">
        <v>45080</v>
      </c>
      <c r="C221" s="2">
        <v>0.91193287037037041</v>
      </c>
      <c r="D221" t="s">
        <v>41</v>
      </c>
      <c r="E221" t="s">
        <v>59</v>
      </c>
      <c r="F221" t="s">
        <v>1101</v>
      </c>
      <c r="G221" t="s">
        <v>1102</v>
      </c>
      <c r="H221">
        <v>50</v>
      </c>
      <c r="I221" t="s">
        <v>43</v>
      </c>
      <c r="J221" t="s">
        <v>88</v>
      </c>
      <c r="K221" t="s">
        <v>152</v>
      </c>
      <c r="L221" t="s">
        <v>1103</v>
      </c>
      <c r="M221" t="s">
        <v>148</v>
      </c>
      <c r="N221" t="s">
        <v>47</v>
      </c>
      <c r="O221" t="s">
        <v>70</v>
      </c>
      <c r="P221">
        <v>9971</v>
      </c>
      <c r="Q221" t="s">
        <v>49</v>
      </c>
      <c r="R221" t="s">
        <v>50</v>
      </c>
      <c r="S221" t="s">
        <v>51</v>
      </c>
      <c r="T221" t="s">
        <v>52</v>
      </c>
      <c r="U221" t="s">
        <v>155</v>
      </c>
      <c r="V221" t="s">
        <v>54</v>
      </c>
      <c r="W221" t="s">
        <v>41</v>
      </c>
      <c r="X221" t="s">
        <v>261</v>
      </c>
      <c r="Y221" t="s">
        <v>99</v>
      </c>
      <c r="Z221" t="s">
        <v>57</v>
      </c>
      <c r="AA221" t="s">
        <v>309</v>
      </c>
      <c r="AB221">
        <v>0</v>
      </c>
      <c r="AC221">
        <v>0</v>
      </c>
      <c r="AD221">
        <v>5</v>
      </c>
      <c r="AE221">
        <v>1649.52</v>
      </c>
      <c r="AF221">
        <v>0</v>
      </c>
      <c r="AG221">
        <v>115.47</v>
      </c>
      <c r="AH221">
        <v>14.57</v>
      </c>
      <c r="AI221">
        <v>1779.56</v>
      </c>
      <c r="AJ221">
        <v>1017.44</v>
      </c>
      <c r="AK221">
        <v>747.55</v>
      </c>
      <c r="AL221">
        <v>42.01</v>
      </c>
      <c r="AM221">
        <v>6705.89</v>
      </c>
      <c r="AN221" t="b">
        <v>1</v>
      </c>
      <c r="AO221">
        <v>3</v>
      </c>
    </row>
    <row r="222" spans="1:41" x14ac:dyDescent="0.35">
      <c r="A222" t="s">
        <v>1104</v>
      </c>
      <c r="B222" s="1">
        <v>45450</v>
      </c>
      <c r="C222" s="2">
        <v>0.57089120370370372</v>
      </c>
      <c r="D222" t="s">
        <v>41</v>
      </c>
      <c r="E222" t="s">
        <v>77</v>
      </c>
      <c r="F222" t="s">
        <v>1105</v>
      </c>
      <c r="G222" t="s">
        <v>1106</v>
      </c>
      <c r="H222">
        <v>22</v>
      </c>
      <c r="I222" t="s">
        <v>43</v>
      </c>
      <c r="J222" t="s">
        <v>88</v>
      </c>
      <c r="K222" t="s">
        <v>45</v>
      </c>
      <c r="L222" t="s">
        <v>1107</v>
      </c>
      <c r="M222" t="s">
        <v>142</v>
      </c>
      <c r="N222" t="s">
        <v>47</v>
      </c>
      <c r="O222" t="s">
        <v>70</v>
      </c>
      <c r="P222">
        <v>33745</v>
      </c>
      <c r="Q222" t="s">
        <v>137</v>
      </c>
      <c r="R222" t="s">
        <v>50</v>
      </c>
      <c r="S222" t="s">
        <v>51</v>
      </c>
      <c r="T222" t="s">
        <v>52</v>
      </c>
      <c r="U222" t="s">
        <v>221</v>
      </c>
      <c r="V222" t="s">
        <v>54</v>
      </c>
      <c r="W222" t="s">
        <v>41</v>
      </c>
      <c r="X222" t="s">
        <v>55</v>
      </c>
      <c r="Y222" t="s">
        <v>212</v>
      </c>
      <c r="Z222" t="s">
        <v>304</v>
      </c>
      <c r="AA222" t="s">
        <v>222</v>
      </c>
      <c r="AB222">
        <v>0</v>
      </c>
      <c r="AC222">
        <v>0</v>
      </c>
      <c r="AD222">
        <v>4</v>
      </c>
      <c r="AE222">
        <v>1549.37</v>
      </c>
      <c r="AF222">
        <v>0</v>
      </c>
      <c r="AG222">
        <v>108.46</v>
      </c>
      <c r="AH222">
        <v>10.130000000000001</v>
      </c>
      <c r="AI222">
        <v>1667.96</v>
      </c>
      <c r="AJ222">
        <v>746.34</v>
      </c>
      <c r="AK222">
        <v>911.49</v>
      </c>
      <c r="AL222">
        <v>54.65</v>
      </c>
      <c r="AM222">
        <v>4894.1099999999997</v>
      </c>
      <c r="AN222" t="b">
        <v>1</v>
      </c>
      <c r="AO222">
        <v>4</v>
      </c>
    </row>
    <row r="223" spans="1:41" x14ac:dyDescent="0.35">
      <c r="A223" t="s">
        <v>1108</v>
      </c>
      <c r="B223" s="1">
        <v>45423</v>
      </c>
      <c r="C223" s="2">
        <v>0.6627777777777778</v>
      </c>
      <c r="D223" t="s">
        <v>41</v>
      </c>
      <c r="E223" t="s">
        <v>77</v>
      </c>
      <c r="F223" t="s">
        <v>1109</v>
      </c>
      <c r="G223" t="s">
        <v>1110</v>
      </c>
      <c r="H223">
        <v>72</v>
      </c>
      <c r="I223" t="s">
        <v>78</v>
      </c>
      <c r="J223" t="s">
        <v>88</v>
      </c>
      <c r="K223" t="s">
        <v>45</v>
      </c>
      <c r="L223" t="s">
        <v>1111</v>
      </c>
      <c r="M223" t="s">
        <v>496</v>
      </c>
      <c r="N223" t="s">
        <v>90</v>
      </c>
      <c r="O223" t="s">
        <v>80</v>
      </c>
      <c r="P223">
        <v>34890</v>
      </c>
      <c r="Q223" t="s">
        <v>107</v>
      </c>
      <c r="R223" t="s">
        <v>50</v>
      </c>
      <c r="S223" t="s">
        <v>91</v>
      </c>
      <c r="T223" t="s">
        <v>52</v>
      </c>
      <c r="U223" t="s">
        <v>221</v>
      </c>
      <c r="V223" t="s">
        <v>54</v>
      </c>
      <c r="W223" t="s">
        <v>41</v>
      </c>
      <c r="X223" t="s">
        <v>261</v>
      </c>
      <c r="Y223" t="s">
        <v>99</v>
      </c>
      <c r="Z223" t="s">
        <v>57</v>
      </c>
      <c r="AA223" t="s">
        <v>100</v>
      </c>
      <c r="AB223">
        <v>0</v>
      </c>
      <c r="AC223">
        <v>0</v>
      </c>
      <c r="AD223">
        <v>3</v>
      </c>
      <c r="AE223">
        <v>950.04</v>
      </c>
      <c r="AF223">
        <v>0</v>
      </c>
      <c r="AG223">
        <v>123.51</v>
      </c>
      <c r="AH223">
        <v>15.61</v>
      </c>
      <c r="AI223">
        <v>1089.1600000000001</v>
      </c>
      <c r="AJ223">
        <v>422.57</v>
      </c>
      <c r="AK223">
        <v>650.98</v>
      </c>
      <c r="AL223">
        <v>59.77</v>
      </c>
      <c r="AM223">
        <v>13717.73</v>
      </c>
      <c r="AN223" t="b">
        <v>1</v>
      </c>
      <c r="AO223">
        <v>9</v>
      </c>
    </row>
    <row r="224" spans="1:41" x14ac:dyDescent="0.35">
      <c r="A224" t="s">
        <v>1112</v>
      </c>
      <c r="B224" s="1">
        <v>44387</v>
      </c>
      <c r="C224" s="2">
        <v>0.78571759259259255</v>
      </c>
      <c r="D224" t="s">
        <v>41</v>
      </c>
      <c r="E224" t="s">
        <v>42</v>
      </c>
      <c r="F224" t="s">
        <v>1113</v>
      </c>
      <c r="G224" t="s">
        <v>1114</v>
      </c>
      <c r="H224">
        <v>40</v>
      </c>
      <c r="I224" t="s">
        <v>78</v>
      </c>
      <c r="J224" t="s">
        <v>88</v>
      </c>
      <c r="K224" t="s">
        <v>152</v>
      </c>
      <c r="L224" t="s">
        <v>1115</v>
      </c>
      <c r="M224" t="s">
        <v>160</v>
      </c>
      <c r="N224" t="s">
        <v>123</v>
      </c>
      <c r="O224" t="s">
        <v>118</v>
      </c>
      <c r="P224">
        <v>22203</v>
      </c>
      <c r="Q224" t="s">
        <v>113</v>
      </c>
      <c r="R224" t="s">
        <v>50</v>
      </c>
      <c r="S224" t="s">
        <v>124</v>
      </c>
      <c r="T224" t="s">
        <v>52</v>
      </c>
      <c r="U224" t="s">
        <v>163</v>
      </c>
      <c r="V224" t="s">
        <v>54</v>
      </c>
      <c r="W224" t="s">
        <v>41</v>
      </c>
      <c r="X224" t="s">
        <v>261</v>
      </c>
      <c r="Y224" t="s">
        <v>108</v>
      </c>
      <c r="Z224" t="s">
        <v>109</v>
      </c>
      <c r="AA224" t="s">
        <v>283</v>
      </c>
      <c r="AB224">
        <v>0</v>
      </c>
      <c r="AC224">
        <v>0</v>
      </c>
      <c r="AD224">
        <v>1</v>
      </c>
      <c r="AE224">
        <v>371.72</v>
      </c>
      <c r="AF224">
        <v>0</v>
      </c>
      <c r="AG224">
        <v>74.34</v>
      </c>
      <c r="AH224">
        <v>4.7300000000000004</v>
      </c>
      <c r="AI224">
        <v>450.79</v>
      </c>
      <c r="AJ224">
        <v>208.47</v>
      </c>
      <c r="AK224">
        <v>237.59</v>
      </c>
      <c r="AL224">
        <v>52.71</v>
      </c>
      <c r="AM224">
        <v>3218.22</v>
      </c>
      <c r="AN224" t="b">
        <v>1</v>
      </c>
      <c r="AO224">
        <v>3</v>
      </c>
    </row>
    <row r="225" spans="1:41" x14ac:dyDescent="0.35">
      <c r="A225" t="s">
        <v>1116</v>
      </c>
      <c r="B225" s="1">
        <v>44966</v>
      </c>
      <c r="C225" s="2">
        <v>0.99603009259259256</v>
      </c>
      <c r="D225" t="s">
        <v>41</v>
      </c>
      <c r="E225" t="s">
        <v>77</v>
      </c>
      <c r="F225" t="s">
        <v>1117</v>
      </c>
      <c r="G225" t="s">
        <v>1118</v>
      </c>
      <c r="H225">
        <v>65</v>
      </c>
      <c r="I225" t="s">
        <v>43</v>
      </c>
      <c r="J225" t="s">
        <v>60</v>
      </c>
      <c r="K225" t="s">
        <v>152</v>
      </c>
      <c r="L225" t="s">
        <v>1119</v>
      </c>
      <c r="M225" t="s">
        <v>193</v>
      </c>
      <c r="N225" t="s">
        <v>47</v>
      </c>
      <c r="O225" t="s">
        <v>106</v>
      </c>
      <c r="P225">
        <v>89105</v>
      </c>
      <c r="Q225" t="s">
        <v>113</v>
      </c>
      <c r="R225" t="s">
        <v>50</v>
      </c>
      <c r="S225" t="s">
        <v>51</v>
      </c>
      <c r="T225" t="s">
        <v>71</v>
      </c>
      <c r="U225" t="s">
        <v>163</v>
      </c>
      <c r="V225" t="s">
        <v>54</v>
      </c>
      <c r="W225" t="s">
        <v>41</v>
      </c>
      <c r="X225" t="s">
        <v>98</v>
      </c>
      <c r="Y225" t="s">
        <v>131</v>
      </c>
      <c r="Z225" t="s">
        <v>177</v>
      </c>
      <c r="AA225" t="s">
        <v>284</v>
      </c>
      <c r="AB225">
        <v>0</v>
      </c>
      <c r="AC225">
        <v>0</v>
      </c>
      <c r="AD225">
        <v>1</v>
      </c>
      <c r="AE225">
        <v>202.84</v>
      </c>
      <c r="AF225">
        <v>0</v>
      </c>
      <c r="AG225">
        <v>14.2</v>
      </c>
      <c r="AH225">
        <v>3.96</v>
      </c>
      <c r="AI225">
        <v>221</v>
      </c>
      <c r="AJ225">
        <v>107.97</v>
      </c>
      <c r="AK225">
        <v>109.07</v>
      </c>
      <c r="AL225">
        <v>49.35</v>
      </c>
      <c r="AM225">
        <v>4192.78</v>
      </c>
      <c r="AN225" t="b">
        <v>1</v>
      </c>
      <c r="AO225">
        <v>3</v>
      </c>
    </row>
    <row r="226" spans="1:41" x14ac:dyDescent="0.35">
      <c r="A226" t="s">
        <v>1120</v>
      </c>
      <c r="B226" s="1">
        <v>45302</v>
      </c>
      <c r="C226" s="2">
        <v>0.3567939814814815</v>
      </c>
      <c r="D226" t="s">
        <v>41</v>
      </c>
      <c r="E226" t="s">
        <v>111</v>
      </c>
      <c r="F226" t="s">
        <v>1121</v>
      </c>
      <c r="G226" t="s">
        <v>1122</v>
      </c>
      <c r="H226">
        <v>19</v>
      </c>
      <c r="I226" t="s">
        <v>43</v>
      </c>
      <c r="J226" t="s">
        <v>68</v>
      </c>
      <c r="K226" t="s">
        <v>45</v>
      </c>
      <c r="L226" t="s">
        <v>1123</v>
      </c>
      <c r="M226" t="s">
        <v>122</v>
      </c>
      <c r="N226" t="s">
        <v>123</v>
      </c>
      <c r="O226" t="s">
        <v>80</v>
      </c>
      <c r="P226">
        <v>11758</v>
      </c>
      <c r="Q226" t="s">
        <v>107</v>
      </c>
      <c r="R226" t="s">
        <v>50</v>
      </c>
      <c r="S226" t="s">
        <v>124</v>
      </c>
      <c r="T226" t="s">
        <v>82</v>
      </c>
      <c r="U226" t="s">
        <v>145</v>
      </c>
      <c r="V226" t="s">
        <v>54</v>
      </c>
      <c r="W226" t="s">
        <v>41</v>
      </c>
      <c r="X226" t="s">
        <v>55</v>
      </c>
      <c r="Y226" t="s">
        <v>212</v>
      </c>
      <c r="Z226" t="s">
        <v>228</v>
      </c>
      <c r="AA226" t="s">
        <v>326</v>
      </c>
      <c r="AB226">
        <v>0</v>
      </c>
      <c r="AC226">
        <v>0</v>
      </c>
      <c r="AD226">
        <v>3</v>
      </c>
      <c r="AE226">
        <v>784.31</v>
      </c>
      <c r="AF226">
        <v>0</v>
      </c>
      <c r="AG226">
        <v>156.85</v>
      </c>
      <c r="AH226">
        <v>21.39</v>
      </c>
      <c r="AI226">
        <v>962.55</v>
      </c>
      <c r="AJ226">
        <v>417.84</v>
      </c>
      <c r="AK226">
        <v>523.32000000000005</v>
      </c>
      <c r="AL226">
        <v>54.37</v>
      </c>
      <c r="AM226">
        <v>9790.51</v>
      </c>
      <c r="AN226" t="b">
        <v>1</v>
      </c>
      <c r="AO226">
        <v>6</v>
      </c>
    </row>
    <row r="227" spans="1:41" x14ac:dyDescent="0.35">
      <c r="A227" t="s">
        <v>1124</v>
      </c>
      <c r="B227" s="1">
        <v>45390</v>
      </c>
      <c r="C227" s="2">
        <v>0.15372685185185186</v>
      </c>
      <c r="D227" t="s">
        <v>41</v>
      </c>
      <c r="E227" t="s">
        <v>42</v>
      </c>
      <c r="F227" t="s">
        <v>1125</v>
      </c>
      <c r="G227" t="s">
        <v>1126</v>
      </c>
      <c r="H227">
        <v>62</v>
      </c>
      <c r="I227" t="s">
        <v>43</v>
      </c>
      <c r="J227" t="s">
        <v>88</v>
      </c>
      <c r="K227" t="s">
        <v>45</v>
      </c>
      <c r="L227" t="s">
        <v>1127</v>
      </c>
      <c r="M227" t="s">
        <v>496</v>
      </c>
      <c r="N227" t="s">
        <v>90</v>
      </c>
      <c r="O227" t="s">
        <v>80</v>
      </c>
      <c r="P227">
        <v>9408</v>
      </c>
      <c r="Q227" t="s">
        <v>113</v>
      </c>
      <c r="R227" t="s">
        <v>50</v>
      </c>
      <c r="S227" t="s">
        <v>91</v>
      </c>
      <c r="T227" t="s">
        <v>52</v>
      </c>
      <c r="U227" t="s">
        <v>163</v>
      </c>
      <c r="V227" t="s">
        <v>54</v>
      </c>
      <c r="W227" t="s">
        <v>41</v>
      </c>
      <c r="X227" t="s">
        <v>84</v>
      </c>
      <c r="Y227" t="s">
        <v>131</v>
      </c>
      <c r="Z227" t="s">
        <v>227</v>
      </c>
      <c r="AA227" t="s">
        <v>222</v>
      </c>
      <c r="AB227">
        <v>0</v>
      </c>
      <c r="AC227">
        <v>0</v>
      </c>
      <c r="AD227">
        <v>2</v>
      </c>
      <c r="AE227">
        <v>1048.1600000000001</v>
      </c>
      <c r="AF227">
        <v>0</v>
      </c>
      <c r="AG227">
        <v>136.26</v>
      </c>
      <c r="AH227">
        <v>6.99</v>
      </c>
      <c r="AI227">
        <v>1191.4100000000001</v>
      </c>
      <c r="AJ227">
        <v>610.1</v>
      </c>
      <c r="AK227">
        <v>574.32000000000005</v>
      </c>
      <c r="AL227">
        <v>48.21</v>
      </c>
      <c r="AM227">
        <v>6892.3</v>
      </c>
      <c r="AN227" t="b">
        <v>1</v>
      </c>
      <c r="AO227">
        <v>8</v>
      </c>
    </row>
    <row r="228" spans="1:41" x14ac:dyDescent="0.35">
      <c r="A228" t="s">
        <v>1128</v>
      </c>
      <c r="B228" s="1">
        <v>45788</v>
      </c>
      <c r="C228" s="2">
        <v>5.5173611111111111E-2</v>
      </c>
      <c r="D228" t="s">
        <v>41</v>
      </c>
      <c r="E228" t="s">
        <v>42</v>
      </c>
      <c r="F228" t="s">
        <v>1129</v>
      </c>
      <c r="G228" t="s">
        <v>1130</v>
      </c>
      <c r="H228">
        <v>29</v>
      </c>
      <c r="I228" t="s">
        <v>43</v>
      </c>
      <c r="J228" t="s">
        <v>88</v>
      </c>
      <c r="K228" t="s">
        <v>45</v>
      </c>
      <c r="L228" t="s">
        <v>1131</v>
      </c>
      <c r="M228" t="s">
        <v>293</v>
      </c>
      <c r="N228" t="s">
        <v>123</v>
      </c>
      <c r="O228" t="s">
        <v>118</v>
      </c>
      <c r="P228">
        <v>72827</v>
      </c>
      <c r="Q228" t="s">
        <v>49</v>
      </c>
      <c r="R228" t="s">
        <v>50</v>
      </c>
      <c r="S228" t="s">
        <v>124</v>
      </c>
      <c r="T228" t="s">
        <v>65</v>
      </c>
      <c r="U228" t="s">
        <v>92</v>
      </c>
      <c r="V228" t="s">
        <v>54</v>
      </c>
      <c r="W228" t="s">
        <v>41</v>
      </c>
      <c r="X228" t="s">
        <v>55</v>
      </c>
      <c r="Y228" t="s">
        <v>212</v>
      </c>
      <c r="Z228" t="s">
        <v>304</v>
      </c>
      <c r="AA228" t="s">
        <v>446</v>
      </c>
      <c r="AB228">
        <v>0</v>
      </c>
      <c r="AC228">
        <v>0</v>
      </c>
      <c r="AD228">
        <v>5</v>
      </c>
      <c r="AE228">
        <v>1295.99</v>
      </c>
      <c r="AF228">
        <v>0</v>
      </c>
      <c r="AG228">
        <v>259.2</v>
      </c>
      <c r="AH228">
        <v>22.24</v>
      </c>
      <c r="AI228">
        <v>1577.43</v>
      </c>
      <c r="AJ228">
        <v>639.54999999999995</v>
      </c>
      <c r="AK228">
        <v>915.64</v>
      </c>
      <c r="AL228">
        <v>58.05</v>
      </c>
      <c r="AM228">
        <v>7064.68</v>
      </c>
      <c r="AN228" t="b">
        <v>1</v>
      </c>
      <c r="AO228">
        <v>5</v>
      </c>
    </row>
    <row r="229" spans="1:41" x14ac:dyDescent="0.35">
      <c r="A229" t="s">
        <v>1132</v>
      </c>
      <c r="B229" s="1">
        <v>45691</v>
      </c>
      <c r="C229" s="2">
        <v>8.0231481481481487E-2</v>
      </c>
      <c r="D229" t="s">
        <v>41</v>
      </c>
      <c r="E229" t="s">
        <v>59</v>
      </c>
      <c r="F229" t="s">
        <v>1133</v>
      </c>
      <c r="G229" t="s">
        <v>1134</v>
      </c>
      <c r="H229">
        <v>59</v>
      </c>
      <c r="I229" t="s">
        <v>78</v>
      </c>
      <c r="J229" t="s">
        <v>60</v>
      </c>
      <c r="K229" t="s">
        <v>45</v>
      </c>
      <c r="L229" t="s">
        <v>1135</v>
      </c>
      <c r="M229" t="s">
        <v>154</v>
      </c>
      <c r="N229" t="s">
        <v>47</v>
      </c>
      <c r="O229" t="s">
        <v>48</v>
      </c>
      <c r="P229">
        <v>65098</v>
      </c>
      <c r="Q229" t="s">
        <v>113</v>
      </c>
      <c r="R229" t="s">
        <v>50</v>
      </c>
      <c r="S229" t="s">
        <v>51</v>
      </c>
      <c r="T229" t="s">
        <v>82</v>
      </c>
      <c r="U229" t="s">
        <v>221</v>
      </c>
      <c r="V229" t="s">
        <v>54</v>
      </c>
      <c r="W229" t="s">
        <v>41</v>
      </c>
      <c r="X229" t="s">
        <v>98</v>
      </c>
      <c r="Y229" t="s">
        <v>93</v>
      </c>
      <c r="Z229" t="s">
        <v>359</v>
      </c>
      <c r="AA229" t="s">
        <v>238</v>
      </c>
      <c r="AB229">
        <v>0</v>
      </c>
      <c r="AC229">
        <v>0</v>
      </c>
      <c r="AD229">
        <v>5</v>
      </c>
      <c r="AE229">
        <v>1004.63</v>
      </c>
      <c r="AF229">
        <v>0</v>
      </c>
      <c r="AG229">
        <v>70.33</v>
      </c>
      <c r="AH229">
        <v>27.33</v>
      </c>
      <c r="AI229">
        <v>1102.29</v>
      </c>
      <c r="AJ229">
        <v>412.32</v>
      </c>
      <c r="AK229">
        <v>662.64</v>
      </c>
      <c r="AL229">
        <v>60.11</v>
      </c>
      <c r="AM229">
        <v>12590.78</v>
      </c>
      <c r="AN229" t="b">
        <v>1</v>
      </c>
      <c r="AO229">
        <v>8</v>
      </c>
    </row>
    <row r="230" spans="1:41" x14ac:dyDescent="0.35">
      <c r="A230" t="s">
        <v>1136</v>
      </c>
      <c r="B230" s="1">
        <v>45574</v>
      </c>
      <c r="C230" s="2">
        <v>0.52972222222222221</v>
      </c>
      <c r="D230" t="s">
        <v>41</v>
      </c>
      <c r="E230" t="s">
        <v>77</v>
      </c>
      <c r="F230" t="s">
        <v>1137</v>
      </c>
      <c r="G230" t="s">
        <v>1138</v>
      </c>
      <c r="H230">
        <v>32</v>
      </c>
      <c r="I230" t="s">
        <v>43</v>
      </c>
      <c r="J230" t="s">
        <v>88</v>
      </c>
      <c r="K230" t="s">
        <v>152</v>
      </c>
      <c r="L230" t="s">
        <v>1139</v>
      </c>
      <c r="M230" t="s">
        <v>193</v>
      </c>
      <c r="N230" t="s">
        <v>47</v>
      </c>
      <c r="O230" t="s">
        <v>106</v>
      </c>
      <c r="P230">
        <v>80142</v>
      </c>
      <c r="Q230" t="s">
        <v>49</v>
      </c>
      <c r="R230" t="s">
        <v>50</v>
      </c>
      <c r="S230" t="s">
        <v>51</v>
      </c>
      <c r="T230" t="s">
        <v>65</v>
      </c>
      <c r="U230" t="s">
        <v>120</v>
      </c>
      <c r="V230" t="s">
        <v>54</v>
      </c>
      <c r="W230" t="s">
        <v>41</v>
      </c>
      <c r="X230" t="s">
        <v>55</v>
      </c>
      <c r="Y230" t="s">
        <v>131</v>
      </c>
      <c r="Z230" t="s">
        <v>177</v>
      </c>
      <c r="AA230" t="s">
        <v>140</v>
      </c>
      <c r="AB230">
        <v>0</v>
      </c>
      <c r="AC230">
        <v>0</v>
      </c>
      <c r="AD230">
        <v>7</v>
      </c>
      <c r="AE230">
        <v>312.48</v>
      </c>
      <c r="AF230">
        <v>0</v>
      </c>
      <c r="AG230">
        <v>21.87</v>
      </c>
      <c r="AH230">
        <v>17.940000000000001</v>
      </c>
      <c r="AI230">
        <v>352.29</v>
      </c>
      <c r="AJ230">
        <v>137.93</v>
      </c>
      <c r="AK230">
        <v>196.42</v>
      </c>
      <c r="AL230">
        <v>55.76</v>
      </c>
      <c r="AM230">
        <v>3490.22</v>
      </c>
      <c r="AN230" t="b">
        <v>1</v>
      </c>
      <c r="AO230">
        <v>2</v>
      </c>
    </row>
    <row r="231" spans="1:41" x14ac:dyDescent="0.35">
      <c r="A231" t="s">
        <v>1140</v>
      </c>
      <c r="B231" s="1">
        <v>45480</v>
      </c>
      <c r="C231" s="2">
        <v>0.31113425925925925</v>
      </c>
      <c r="D231" t="s">
        <v>41</v>
      </c>
      <c r="E231" t="s">
        <v>77</v>
      </c>
      <c r="F231" t="s">
        <v>1141</v>
      </c>
      <c r="G231" t="s">
        <v>1142</v>
      </c>
      <c r="H231">
        <v>38</v>
      </c>
      <c r="I231" t="s">
        <v>43</v>
      </c>
      <c r="J231" t="s">
        <v>88</v>
      </c>
      <c r="K231" t="s">
        <v>45</v>
      </c>
      <c r="L231" t="s">
        <v>1143</v>
      </c>
      <c r="M231" t="s">
        <v>496</v>
      </c>
      <c r="N231" t="s">
        <v>90</v>
      </c>
      <c r="O231" t="s">
        <v>80</v>
      </c>
      <c r="P231">
        <v>39867</v>
      </c>
      <c r="Q231" t="s">
        <v>113</v>
      </c>
      <c r="R231" t="s">
        <v>50</v>
      </c>
      <c r="S231" t="s">
        <v>91</v>
      </c>
      <c r="T231" t="s">
        <v>82</v>
      </c>
      <c r="U231" t="s">
        <v>243</v>
      </c>
      <c r="V231" t="s">
        <v>54</v>
      </c>
      <c r="W231" t="s">
        <v>41</v>
      </c>
      <c r="X231" t="s">
        <v>176</v>
      </c>
      <c r="Y231" t="s">
        <v>85</v>
      </c>
      <c r="Z231" t="s">
        <v>161</v>
      </c>
      <c r="AA231" t="s">
        <v>325</v>
      </c>
      <c r="AB231">
        <v>0</v>
      </c>
      <c r="AC231">
        <v>0</v>
      </c>
      <c r="AD231">
        <v>12</v>
      </c>
      <c r="AE231">
        <v>1470.21</v>
      </c>
      <c r="AF231">
        <v>0</v>
      </c>
      <c r="AG231">
        <v>191.13</v>
      </c>
      <c r="AH231">
        <v>77.58</v>
      </c>
      <c r="AI231">
        <v>1738.92</v>
      </c>
      <c r="AJ231">
        <v>669.54</v>
      </c>
      <c r="AK231">
        <v>991.8</v>
      </c>
      <c r="AL231">
        <v>57.04</v>
      </c>
      <c r="AM231">
        <v>9722.51</v>
      </c>
      <c r="AN231" t="b">
        <v>1</v>
      </c>
      <c r="AO231">
        <v>6</v>
      </c>
    </row>
    <row r="232" spans="1:41" x14ac:dyDescent="0.35">
      <c r="A232" t="s">
        <v>1144</v>
      </c>
      <c r="B232" s="1">
        <v>44900</v>
      </c>
      <c r="C232" s="2">
        <v>0.32494212962962965</v>
      </c>
      <c r="D232" t="s">
        <v>41</v>
      </c>
      <c r="E232" t="s">
        <v>42</v>
      </c>
      <c r="F232" t="s">
        <v>1145</v>
      </c>
      <c r="G232" t="s">
        <v>1146</v>
      </c>
      <c r="H232">
        <v>24</v>
      </c>
      <c r="I232" t="s">
        <v>78</v>
      </c>
      <c r="J232" t="s">
        <v>88</v>
      </c>
      <c r="K232" t="s">
        <v>45</v>
      </c>
      <c r="L232" t="s">
        <v>1147</v>
      </c>
      <c r="M232" t="s">
        <v>368</v>
      </c>
      <c r="N232" t="s">
        <v>62</v>
      </c>
      <c r="O232" t="s">
        <v>118</v>
      </c>
      <c r="P232">
        <v>82366</v>
      </c>
      <c r="Q232" t="s">
        <v>113</v>
      </c>
      <c r="R232" t="s">
        <v>50</v>
      </c>
      <c r="S232" t="s">
        <v>64</v>
      </c>
      <c r="T232" t="s">
        <v>52</v>
      </c>
      <c r="U232" t="s">
        <v>324</v>
      </c>
      <c r="V232" t="s">
        <v>54</v>
      </c>
      <c r="W232" t="s">
        <v>41</v>
      </c>
      <c r="X232" t="s">
        <v>172</v>
      </c>
      <c r="Y232" t="s">
        <v>74</v>
      </c>
      <c r="Z232" t="s">
        <v>139</v>
      </c>
      <c r="AA232" t="s">
        <v>144</v>
      </c>
      <c r="AB232">
        <v>0</v>
      </c>
      <c r="AC232">
        <v>0</v>
      </c>
      <c r="AD232">
        <v>3</v>
      </c>
      <c r="AE232">
        <v>1384.12</v>
      </c>
      <c r="AF232">
        <v>0</v>
      </c>
      <c r="AG232">
        <v>262.98</v>
      </c>
      <c r="AH232">
        <v>15.18</v>
      </c>
      <c r="AI232">
        <v>1662.28</v>
      </c>
      <c r="AJ232">
        <v>743.41</v>
      </c>
      <c r="AK232">
        <v>903.69</v>
      </c>
      <c r="AL232">
        <v>54.36</v>
      </c>
      <c r="AM232">
        <v>4181.93</v>
      </c>
      <c r="AN232" t="b">
        <v>1</v>
      </c>
      <c r="AO232">
        <v>6</v>
      </c>
    </row>
    <row r="233" spans="1:41" x14ac:dyDescent="0.35">
      <c r="A233" t="s">
        <v>1148</v>
      </c>
      <c r="B233" s="1">
        <v>45056</v>
      </c>
      <c r="C233" s="2">
        <v>0.15592592592592591</v>
      </c>
      <c r="D233" t="s">
        <v>41</v>
      </c>
      <c r="E233" t="s">
        <v>77</v>
      </c>
      <c r="F233" t="s">
        <v>1149</v>
      </c>
      <c r="G233" t="s">
        <v>1150</v>
      </c>
      <c r="H233">
        <v>19</v>
      </c>
      <c r="I233" t="s">
        <v>78</v>
      </c>
      <c r="J233" t="s">
        <v>88</v>
      </c>
      <c r="K233" t="s">
        <v>45</v>
      </c>
      <c r="L233" t="s">
        <v>1151</v>
      </c>
      <c r="M233" t="s">
        <v>174</v>
      </c>
      <c r="N233" t="s">
        <v>117</v>
      </c>
      <c r="O233" t="s">
        <v>70</v>
      </c>
      <c r="P233">
        <v>48673</v>
      </c>
      <c r="Q233" t="s">
        <v>107</v>
      </c>
      <c r="R233" t="s">
        <v>50</v>
      </c>
      <c r="S233" t="s">
        <v>119</v>
      </c>
      <c r="T233" t="s">
        <v>71</v>
      </c>
      <c r="U233" t="s">
        <v>145</v>
      </c>
      <c r="V233" t="s">
        <v>54</v>
      </c>
      <c r="W233" t="s">
        <v>41</v>
      </c>
      <c r="X233" t="s">
        <v>261</v>
      </c>
      <c r="Y233" t="s">
        <v>99</v>
      </c>
      <c r="Z233" t="s">
        <v>57</v>
      </c>
      <c r="AA233" t="s">
        <v>144</v>
      </c>
      <c r="AB233">
        <v>0</v>
      </c>
      <c r="AC233">
        <v>0</v>
      </c>
      <c r="AD233">
        <v>13</v>
      </c>
      <c r="AE233">
        <v>7147.97</v>
      </c>
      <c r="AF233">
        <v>0</v>
      </c>
      <c r="AG233">
        <v>714.8</v>
      </c>
      <c r="AH233">
        <v>64.23</v>
      </c>
      <c r="AI233">
        <v>7927</v>
      </c>
      <c r="AJ233">
        <v>4547.13</v>
      </c>
      <c r="AK233">
        <v>3315.64</v>
      </c>
      <c r="AL233">
        <v>41.83</v>
      </c>
      <c r="AM233">
        <v>17532.12</v>
      </c>
      <c r="AN233" t="b">
        <v>1</v>
      </c>
      <c r="AO233">
        <v>11</v>
      </c>
    </row>
    <row r="234" spans="1:41" x14ac:dyDescent="0.35">
      <c r="A234" t="s">
        <v>1152</v>
      </c>
      <c r="B234" s="1">
        <v>45600</v>
      </c>
      <c r="C234" s="2">
        <v>3.4699074074074077E-2</v>
      </c>
      <c r="D234" t="s">
        <v>41</v>
      </c>
      <c r="E234" t="s">
        <v>59</v>
      </c>
      <c r="F234" t="s">
        <v>1153</v>
      </c>
      <c r="G234" t="s">
        <v>1154</v>
      </c>
      <c r="H234">
        <v>52</v>
      </c>
      <c r="I234" t="s">
        <v>78</v>
      </c>
      <c r="J234" t="s">
        <v>68</v>
      </c>
      <c r="K234" t="s">
        <v>152</v>
      </c>
      <c r="L234" t="s">
        <v>1155</v>
      </c>
      <c r="M234" t="s">
        <v>368</v>
      </c>
      <c r="N234" t="s">
        <v>62</v>
      </c>
      <c r="O234" t="s">
        <v>118</v>
      </c>
      <c r="P234">
        <v>56016</v>
      </c>
      <c r="Q234" t="s">
        <v>113</v>
      </c>
      <c r="R234" t="s">
        <v>50</v>
      </c>
      <c r="S234" t="s">
        <v>64</v>
      </c>
      <c r="T234" t="s">
        <v>71</v>
      </c>
      <c r="U234" t="s">
        <v>155</v>
      </c>
      <c r="V234" t="s">
        <v>54</v>
      </c>
      <c r="W234" t="s">
        <v>41</v>
      </c>
      <c r="X234" t="s">
        <v>156</v>
      </c>
      <c r="Y234" t="s">
        <v>108</v>
      </c>
      <c r="Z234" t="s">
        <v>157</v>
      </c>
      <c r="AA234" t="s">
        <v>192</v>
      </c>
      <c r="AB234">
        <v>0</v>
      </c>
      <c r="AC234">
        <v>0</v>
      </c>
      <c r="AD234">
        <v>2</v>
      </c>
      <c r="AE234">
        <v>465.9</v>
      </c>
      <c r="AF234">
        <v>0</v>
      </c>
      <c r="AG234">
        <v>88.52</v>
      </c>
      <c r="AH234">
        <v>0.22</v>
      </c>
      <c r="AI234">
        <v>554.64</v>
      </c>
      <c r="AJ234">
        <v>250.79</v>
      </c>
      <c r="AK234">
        <v>303.63</v>
      </c>
      <c r="AL234">
        <v>54.74</v>
      </c>
      <c r="AM234">
        <v>3773.77</v>
      </c>
      <c r="AN234" t="b">
        <v>1</v>
      </c>
      <c r="AO234">
        <v>2</v>
      </c>
    </row>
    <row r="235" spans="1:41" x14ac:dyDescent="0.35">
      <c r="A235" t="s">
        <v>1156</v>
      </c>
      <c r="B235" s="1">
        <v>45749</v>
      </c>
      <c r="C235" s="2">
        <v>0.16131944444444443</v>
      </c>
      <c r="D235" t="s">
        <v>41</v>
      </c>
      <c r="E235" t="s">
        <v>42</v>
      </c>
      <c r="F235" t="s">
        <v>1157</v>
      </c>
      <c r="G235" t="s">
        <v>1158</v>
      </c>
      <c r="H235">
        <v>50</v>
      </c>
      <c r="I235" t="s">
        <v>43</v>
      </c>
      <c r="J235" t="s">
        <v>88</v>
      </c>
      <c r="K235" t="s">
        <v>45</v>
      </c>
      <c r="L235" t="s">
        <v>1159</v>
      </c>
      <c r="M235" t="s">
        <v>142</v>
      </c>
      <c r="N235" t="s">
        <v>47</v>
      </c>
      <c r="O235" t="s">
        <v>70</v>
      </c>
      <c r="P235">
        <v>44602</v>
      </c>
      <c r="Q235" t="s">
        <v>81</v>
      </c>
      <c r="R235" t="s">
        <v>50</v>
      </c>
      <c r="S235" t="s">
        <v>51</v>
      </c>
      <c r="T235" t="s">
        <v>71</v>
      </c>
      <c r="U235" t="s">
        <v>114</v>
      </c>
      <c r="V235" t="s">
        <v>54</v>
      </c>
      <c r="W235" t="s">
        <v>41</v>
      </c>
      <c r="X235" t="s">
        <v>84</v>
      </c>
      <c r="Y235" t="s">
        <v>255</v>
      </c>
      <c r="Z235" t="s">
        <v>57</v>
      </c>
      <c r="AA235" t="s">
        <v>206</v>
      </c>
      <c r="AB235">
        <v>0</v>
      </c>
      <c r="AC235">
        <v>0</v>
      </c>
      <c r="AD235">
        <v>1</v>
      </c>
      <c r="AE235">
        <v>100.2</v>
      </c>
      <c r="AF235">
        <v>0</v>
      </c>
      <c r="AG235">
        <v>7.01</v>
      </c>
      <c r="AH235">
        <v>3.86</v>
      </c>
      <c r="AI235">
        <v>111.07</v>
      </c>
      <c r="AJ235">
        <v>51.15</v>
      </c>
      <c r="AK235">
        <v>56.06</v>
      </c>
      <c r="AL235">
        <v>50.47</v>
      </c>
      <c r="AM235">
        <v>3807.63</v>
      </c>
      <c r="AN235" t="b">
        <v>1</v>
      </c>
      <c r="AO235">
        <v>5</v>
      </c>
    </row>
    <row r="236" spans="1:41" x14ac:dyDescent="0.35">
      <c r="A236" t="s">
        <v>1160</v>
      </c>
      <c r="B236" s="1">
        <v>45148</v>
      </c>
      <c r="C236" s="2">
        <v>0.38733796296296297</v>
      </c>
      <c r="D236" t="s">
        <v>41</v>
      </c>
      <c r="E236" t="s">
        <v>111</v>
      </c>
      <c r="F236" t="s">
        <v>1161</v>
      </c>
      <c r="G236" t="s">
        <v>1162</v>
      </c>
      <c r="H236">
        <v>66</v>
      </c>
      <c r="I236" t="s">
        <v>43</v>
      </c>
      <c r="J236" t="s">
        <v>88</v>
      </c>
      <c r="K236" t="s">
        <v>45</v>
      </c>
      <c r="L236" t="s">
        <v>1163</v>
      </c>
      <c r="M236" t="s">
        <v>154</v>
      </c>
      <c r="N236" t="s">
        <v>47</v>
      </c>
      <c r="O236" t="s">
        <v>48</v>
      </c>
      <c r="P236">
        <v>61281</v>
      </c>
      <c r="Q236" t="s">
        <v>107</v>
      </c>
      <c r="R236" t="s">
        <v>50</v>
      </c>
      <c r="S236" t="s">
        <v>51</v>
      </c>
      <c r="T236" t="s">
        <v>52</v>
      </c>
      <c r="U236" t="s">
        <v>138</v>
      </c>
      <c r="V236" t="s">
        <v>54</v>
      </c>
      <c r="W236" t="s">
        <v>41</v>
      </c>
      <c r="X236" t="s">
        <v>172</v>
      </c>
      <c r="Y236" t="s">
        <v>85</v>
      </c>
      <c r="Z236" t="s">
        <v>161</v>
      </c>
      <c r="AA236" t="s">
        <v>325</v>
      </c>
      <c r="AB236">
        <v>0</v>
      </c>
      <c r="AC236">
        <v>0</v>
      </c>
      <c r="AD236">
        <v>1</v>
      </c>
      <c r="AE236">
        <v>320.91000000000003</v>
      </c>
      <c r="AF236">
        <v>0</v>
      </c>
      <c r="AG236">
        <v>22.46</v>
      </c>
      <c r="AH236">
        <v>5.56</v>
      </c>
      <c r="AI236">
        <v>348.93</v>
      </c>
      <c r="AJ236">
        <v>173.12</v>
      </c>
      <c r="AK236">
        <v>170.25</v>
      </c>
      <c r="AL236">
        <v>48.79</v>
      </c>
      <c r="AM236">
        <v>6523.29</v>
      </c>
      <c r="AN236" t="b">
        <v>1</v>
      </c>
      <c r="AO236">
        <v>5</v>
      </c>
    </row>
    <row r="237" spans="1:41" x14ac:dyDescent="0.35">
      <c r="A237" t="s">
        <v>1164</v>
      </c>
      <c r="B237" s="1">
        <v>45689</v>
      </c>
      <c r="C237" s="2">
        <v>0.53520833333333329</v>
      </c>
      <c r="D237" t="s">
        <v>41</v>
      </c>
      <c r="E237" t="s">
        <v>111</v>
      </c>
      <c r="F237" t="s">
        <v>1165</v>
      </c>
      <c r="G237" t="s">
        <v>1166</v>
      </c>
      <c r="H237">
        <v>27</v>
      </c>
      <c r="I237" t="s">
        <v>43</v>
      </c>
      <c r="J237" t="s">
        <v>68</v>
      </c>
      <c r="K237" t="s">
        <v>45</v>
      </c>
      <c r="L237" t="s">
        <v>1167</v>
      </c>
      <c r="M237" t="s">
        <v>198</v>
      </c>
      <c r="N237" t="s">
        <v>47</v>
      </c>
      <c r="O237" t="s">
        <v>70</v>
      </c>
      <c r="P237">
        <v>90624</v>
      </c>
      <c r="Q237" t="s">
        <v>96</v>
      </c>
      <c r="R237" t="s">
        <v>50</v>
      </c>
      <c r="S237" t="s">
        <v>51</v>
      </c>
      <c r="T237" t="s">
        <v>52</v>
      </c>
      <c r="U237" t="s">
        <v>175</v>
      </c>
      <c r="V237" t="s">
        <v>54</v>
      </c>
      <c r="W237" t="s">
        <v>41</v>
      </c>
      <c r="X237" t="s">
        <v>176</v>
      </c>
      <c r="Y237" t="s">
        <v>93</v>
      </c>
      <c r="Z237" t="s">
        <v>359</v>
      </c>
      <c r="AA237" t="s">
        <v>58</v>
      </c>
      <c r="AB237">
        <v>0</v>
      </c>
      <c r="AC237">
        <v>0</v>
      </c>
      <c r="AD237">
        <v>2</v>
      </c>
      <c r="AE237">
        <v>337.58</v>
      </c>
      <c r="AF237">
        <v>0</v>
      </c>
      <c r="AG237">
        <v>23.63</v>
      </c>
      <c r="AH237">
        <v>2.58</v>
      </c>
      <c r="AI237">
        <v>363.79</v>
      </c>
      <c r="AJ237">
        <v>201.28</v>
      </c>
      <c r="AK237">
        <v>159.93</v>
      </c>
      <c r="AL237">
        <v>43.96</v>
      </c>
      <c r="AM237">
        <v>18109.04</v>
      </c>
      <c r="AN237" t="b">
        <v>1</v>
      </c>
      <c r="AO237">
        <v>8</v>
      </c>
    </row>
    <row r="238" spans="1:41" x14ac:dyDescent="0.35">
      <c r="A238" t="s">
        <v>1168</v>
      </c>
      <c r="B238" s="1">
        <v>44573</v>
      </c>
      <c r="C238" s="2">
        <v>0.62924768518518515</v>
      </c>
      <c r="D238" t="s">
        <v>41</v>
      </c>
      <c r="E238" t="s">
        <v>77</v>
      </c>
      <c r="F238" t="s">
        <v>1169</v>
      </c>
      <c r="G238" t="s">
        <v>1170</v>
      </c>
      <c r="H238">
        <v>20</v>
      </c>
      <c r="I238" t="s">
        <v>43</v>
      </c>
      <c r="J238" t="s">
        <v>88</v>
      </c>
      <c r="K238" t="s">
        <v>45</v>
      </c>
      <c r="L238" t="s">
        <v>141</v>
      </c>
      <c r="M238" t="s">
        <v>198</v>
      </c>
      <c r="N238" t="s">
        <v>47</v>
      </c>
      <c r="O238" t="s">
        <v>70</v>
      </c>
      <c r="P238">
        <v>11746</v>
      </c>
      <c r="Q238" t="s">
        <v>81</v>
      </c>
      <c r="R238" t="s">
        <v>50</v>
      </c>
      <c r="S238" t="s">
        <v>51</v>
      </c>
      <c r="T238" t="s">
        <v>65</v>
      </c>
      <c r="U238" t="s">
        <v>243</v>
      </c>
      <c r="V238" t="s">
        <v>54</v>
      </c>
      <c r="W238" t="s">
        <v>41</v>
      </c>
      <c r="X238" t="s">
        <v>172</v>
      </c>
      <c r="Y238" t="s">
        <v>99</v>
      </c>
      <c r="Z238" t="s">
        <v>57</v>
      </c>
      <c r="AA238" t="s">
        <v>284</v>
      </c>
      <c r="AB238">
        <v>0</v>
      </c>
      <c r="AC238">
        <v>0</v>
      </c>
      <c r="AD238">
        <v>5</v>
      </c>
      <c r="AE238">
        <v>798.35</v>
      </c>
      <c r="AF238">
        <v>0</v>
      </c>
      <c r="AG238">
        <v>55.89</v>
      </c>
      <c r="AH238">
        <v>20.43</v>
      </c>
      <c r="AI238">
        <v>874.67</v>
      </c>
      <c r="AJ238">
        <v>439.62</v>
      </c>
      <c r="AK238">
        <v>414.62</v>
      </c>
      <c r="AL238">
        <v>47.4</v>
      </c>
      <c r="AM238">
        <v>13367.95</v>
      </c>
      <c r="AN238" t="b">
        <v>1</v>
      </c>
      <c r="AO238">
        <v>8</v>
      </c>
    </row>
    <row r="239" spans="1:41" x14ac:dyDescent="0.35">
      <c r="A239" t="s">
        <v>1171</v>
      </c>
      <c r="B239" s="1">
        <v>45636</v>
      </c>
      <c r="C239" s="2">
        <v>0.77918981481481486</v>
      </c>
      <c r="D239" t="s">
        <v>41</v>
      </c>
      <c r="E239" t="s">
        <v>59</v>
      </c>
      <c r="F239" t="s">
        <v>1172</v>
      </c>
      <c r="G239" t="s">
        <v>1173</v>
      </c>
      <c r="H239">
        <v>22</v>
      </c>
      <c r="I239" t="s">
        <v>43</v>
      </c>
      <c r="J239" t="s">
        <v>88</v>
      </c>
      <c r="K239" t="s">
        <v>45</v>
      </c>
      <c r="L239" t="s">
        <v>1174</v>
      </c>
      <c r="M239" t="s">
        <v>233</v>
      </c>
      <c r="N239" t="s">
        <v>62</v>
      </c>
      <c r="O239" t="s">
        <v>70</v>
      </c>
      <c r="P239">
        <v>24630</v>
      </c>
      <c r="Q239" t="s">
        <v>113</v>
      </c>
      <c r="R239" t="s">
        <v>50</v>
      </c>
      <c r="S239" t="s">
        <v>64</v>
      </c>
      <c r="T239" t="s">
        <v>82</v>
      </c>
      <c r="U239" t="s">
        <v>145</v>
      </c>
      <c r="V239" t="s">
        <v>54</v>
      </c>
      <c r="W239" t="s">
        <v>41</v>
      </c>
      <c r="X239" t="s">
        <v>156</v>
      </c>
      <c r="Y239" t="s">
        <v>131</v>
      </c>
      <c r="Z239" t="s">
        <v>227</v>
      </c>
      <c r="AA239" t="s">
        <v>244</v>
      </c>
      <c r="AB239">
        <v>0</v>
      </c>
      <c r="AC239">
        <v>0</v>
      </c>
      <c r="AD239">
        <v>6</v>
      </c>
      <c r="AE239">
        <v>1413.77</v>
      </c>
      <c r="AF239">
        <v>0</v>
      </c>
      <c r="AG239">
        <v>268.62</v>
      </c>
      <c r="AH239">
        <v>45.8</v>
      </c>
      <c r="AI239">
        <v>1728.19</v>
      </c>
      <c r="AJ239">
        <v>772.4</v>
      </c>
      <c r="AK239">
        <v>909.99</v>
      </c>
      <c r="AL239">
        <v>52.66</v>
      </c>
      <c r="AM239">
        <v>5129.5</v>
      </c>
      <c r="AN239" t="b">
        <v>1</v>
      </c>
      <c r="AO239">
        <v>6</v>
      </c>
    </row>
    <row r="240" spans="1:41" x14ac:dyDescent="0.35">
      <c r="A240" t="s">
        <v>1175</v>
      </c>
      <c r="B240" s="1">
        <v>44935</v>
      </c>
      <c r="C240" s="2">
        <v>3.4675925925925923E-2</v>
      </c>
      <c r="D240" t="s">
        <v>41</v>
      </c>
      <c r="E240" t="s">
        <v>77</v>
      </c>
      <c r="F240" t="s">
        <v>1176</v>
      </c>
      <c r="G240" t="s">
        <v>1177</v>
      </c>
      <c r="H240">
        <v>56</v>
      </c>
      <c r="I240" t="s">
        <v>78</v>
      </c>
      <c r="J240" t="s">
        <v>60</v>
      </c>
      <c r="K240" t="s">
        <v>45</v>
      </c>
      <c r="L240" t="s">
        <v>1178</v>
      </c>
      <c r="M240" t="s">
        <v>193</v>
      </c>
      <c r="N240" t="s">
        <v>47</v>
      </c>
      <c r="O240" t="s">
        <v>106</v>
      </c>
      <c r="P240">
        <v>16890</v>
      </c>
      <c r="Q240" t="s">
        <v>107</v>
      </c>
      <c r="R240" t="s">
        <v>50</v>
      </c>
      <c r="S240" t="s">
        <v>51</v>
      </c>
      <c r="T240" t="s">
        <v>52</v>
      </c>
      <c r="U240" t="s">
        <v>66</v>
      </c>
      <c r="V240" t="s">
        <v>54</v>
      </c>
      <c r="W240" t="s">
        <v>41</v>
      </c>
      <c r="X240" t="s">
        <v>55</v>
      </c>
      <c r="Y240" t="s">
        <v>85</v>
      </c>
      <c r="Z240" t="s">
        <v>161</v>
      </c>
      <c r="AA240" t="s">
        <v>125</v>
      </c>
      <c r="AB240">
        <v>0</v>
      </c>
      <c r="AC240">
        <v>0</v>
      </c>
      <c r="AD240">
        <v>2</v>
      </c>
      <c r="AE240">
        <v>248.88</v>
      </c>
      <c r="AF240">
        <v>0</v>
      </c>
      <c r="AG240">
        <v>17.420000000000002</v>
      </c>
      <c r="AH240">
        <v>6.32</v>
      </c>
      <c r="AI240">
        <v>272.62</v>
      </c>
      <c r="AJ240">
        <v>117.46</v>
      </c>
      <c r="AK240">
        <v>148.84</v>
      </c>
      <c r="AL240">
        <v>54.6</v>
      </c>
      <c r="AM240">
        <v>6366.93</v>
      </c>
      <c r="AN240" t="b">
        <v>1</v>
      </c>
      <c r="AO240">
        <v>9</v>
      </c>
    </row>
    <row r="241" spans="1:41" x14ac:dyDescent="0.35">
      <c r="A241" t="s">
        <v>1179</v>
      </c>
      <c r="B241" s="1">
        <v>45572</v>
      </c>
      <c r="C241" s="2">
        <v>0.66493055555555558</v>
      </c>
      <c r="D241" t="s">
        <v>41</v>
      </c>
      <c r="E241" t="s">
        <v>111</v>
      </c>
      <c r="F241" t="s">
        <v>1180</v>
      </c>
      <c r="G241" t="s">
        <v>1181</v>
      </c>
      <c r="H241">
        <v>59</v>
      </c>
      <c r="I241" t="s">
        <v>43</v>
      </c>
      <c r="J241" t="s">
        <v>44</v>
      </c>
      <c r="K241" t="s">
        <v>45</v>
      </c>
      <c r="L241" t="s">
        <v>1182</v>
      </c>
      <c r="M241" t="s">
        <v>323</v>
      </c>
      <c r="N241" t="s">
        <v>117</v>
      </c>
      <c r="O241" t="s">
        <v>106</v>
      </c>
      <c r="P241">
        <v>20611</v>
      </c>
      <c r="Q241" t="s">
        <v>81</v>
      </c>
      <c r="R241" t="s">
        <v>50</v>
      </c>
      <c r="S241" t="s">
        <v>119</v>
      </c>
      <c r="T241" t="s">
        <v>52</v>
      </c>
      <c r="U241" t="s">
        <v>97</v>
      </c>
      <c r="V241" t="s">
        <v>54</v>
      </c>
      <c r="W241" t="s">
        <v>41</v>
      </c>
      <c r="X241" t="s">
        <v>172</v>
      </c>
      <c r="Y241" t="s">
        <v>131</v>
      </c>
      <c r="Z241" t="s">
        <v>227</v>
      </c>
      <c r="AA241" t="s">
        <v>158</v>
      </c>
      <c r="AB241">
        <v>0</v>
      </c>
      <c r="AC241">
        <v>0</v>
      </c>
      <c r="AD241">
        <v>10</v>
      </c>
      <c r="AE241">
        <v>2276.5500000000002</v>
      </c>
      <c r="AF241">
        <v>0</v>
      </c>
      <c r="AG241">
        <v>227.65</v>
      </c>
      <c r="AH241">
        <v>34.03</v>
      </c>
      <c r="AI241">
        <v>2538.23</v>
      </c>
      <c r="AJ241">
        <v>1084.46</v>
      </c>
      <c r="AK241">
        <v>1419.74</v>
      </c>
      <c r="AL241">
        <v>55.93</v>
      </c>
      <c r="AM241">
        <v>24132.42</v>
      </c>
      <c r="AN241" t="b">
        <v>1</v>
      </c>
      <c r="AO241">
        <v>12</v>
      </c>
    </row>
    <row r="242" spans="1:41" x14ac:dyDescent="0.35">
      <c r="A242" t="s">
        <v>1183</v>
      </c>
      <c r="B242" s="1">
        <v>45362</v>
      </c>
      <c r="C242" s="2">
        <v>0.91505787037037034</v>
      </c>
      <c r="D242" t="s">
        <v>41</v>
      </c>
      <c r="E242" t="s">
        <v>42</v>
      </c>
      <c r="F242" t="s">
        <v>1184</v>
      </c>
      <c r="G242" t="s">
        <v>1185</v>
      </c>
      <c r="H242">
        <v>21</v>
      </c>
      <c r="I242" t="s">
        <v>43</v>
      </c>
      <c r="J242" t="s">
        <v>88</v>
      </c>
      <c r="K242" t="s">
        <v>45</v>
      </c>
      <c r="L242" t="s">
        <v>1186</v>
      </c>
      <c r="M242" t="s">
        <v>293</v>
      </c>
      <c r="N242" t="s">
        <v>123</v>
      </c>
      <c r="O242" t="s">
        <v>118</v>
      </c>
      <c r="P242">
        <v>17175</v>
      </c>
      <c r="Q242" t="s">
        <v>96</v>
      </c>
      <c r="R242" t="s">
        <v>50</v>
      </c>
      <c r="S242" t="s">
        <v>124</v>
      </c>
      <c r="T242" t="s">
        <v>71</v>
      </c>
      <c r="U242" t="s">
        <v>221</v>
      </c>
      <c r="V242" t="s">
        <v>54</v>
      </c>
      <c r="W242" t="s">
        <v>41</v>
      </c>
      <c r="X242" t="s">
        <v>172</v>
      </c>
      <c r="Y242" t="s">
        <v>85</v>
      </c>
      <c r="Z242" t="s">
        <v>161</v>
      </c>
      <c r="AA242" t="s">
        <v>140</v>
      </c>
      <c r="AB242">
        <v>0</v>
      </c>
      <c r="AC242">
        <v>0</v>
      </c>
      <c r="AD242">
        <v>3</v>
      </c>
      <c r="AE242">
        <v>910.78</v>
      </c>
      <c r="AF242">
        <v>0</v>
      </c>
      <c r="AG242">
        <v>182.16</v>
      </c>
      <c r="AH242">
        <v>13.01</v>
      </c>
      <c r="AI242">
        <v>1105.95</v>
      </c>
      <c r="AJ242">
        <v>388.4</v>
      </c>
      <c r="AK242">
        <v>704.54</v>
      </c>
      <c r="AL242">
        <v>63.7</v>
      </c>
      <c r="AM242">
        <v>15084.01</v>
      </c>
      <c r="AN242" t="b">
        <v>1</v>
      </c>
      <c r="AO242">
        <v>11</v>
      </c>
    </row>
    <row r="243" spans="1:41" x14ac:dyDescent="0.35">
      <c r="A243" t="s">
        <v>1187</v>
      </c>
      <c r="B243" s="1">
        <v>45973</v>
      </c>
      <c r="C243" s="2">
        <v>0.90915509259259264</v>
      </c>
      <c r="D243" t="s">
        <v>41</v>
      </c>
      <c r="E243" t="s">
        <v>42</v>
      </c>
      <c r="F243" t="s">
        <v>1188</v>
      </c>
      <c r="G243" t="s">
        <v>1189</v>
      </c>
      <c r="H243">
        <v>35</v>
      </c>
      <c r="I243" t="s">
        <v>173</v>
      </c>
      <c r="J243" t="s">
        <v>88</v>
      </c>
      <c r="K243" t="s">
        <v>45</v>
      </c>
      <c r="L243" t="s">
        <v>1190</v>
      </c>
      <c r="M243" t="s">
        <v>318</v>
      </c>
      <c r="N243" t="s">
        <v>90</v>
      </c>
      <c r="O243" t="s">
        <v>106</v>
      </c>
      <c r="P243">
        <v>37948</v>
      </c>
      <c r="Q243" t="s">
        <v>113</v>
      </c>
      <c r="R243" t="s">
        <v>50</v>
      </c>
      <c r="S243" t="s">
        <v>91</v>
      </c>
      <c r="T243" t="s">
        <v>52</v>
      </c>
      <c r="U243" t="s">
        <v>221</v>
      </c>
      <c r="V243" t="s">
        <v>54</v>
      </c>
      <c r="W243" t="s">
        <v>41</v>
      </c>
      <c r="X243" t="s">
        <v>172</v>
      </c>
      <c r="Y243" t="s">
        <v>108</v>
      </c>
      <c r="Z243" t="s">
        <v>245</v>
      </c>
      <c r="AA243" t="s">
        <v>178</v>
      </c>
      <c r="AB243">
        <v>0</v>
      </c>
      <c r="AC243">
        <v>0</v>
      </c>
      <c r="AD243">
        <v>11</v>
      </c>
      <c r="AE243">
        <v>1112.01</v>
      </c>
      <c r="AF243">
        <v>0</v>
      </c>
      <c r="AG243">
        <v>144.57</v>
      </c>
      <c r="AH243">
        <v>33.64</v>
      </c>
      <c r="AI243">
        <v>1290.22</v>
      </c>
      <c r="AJ243">
        <v>588.30999999999995</v>
      </c>
      <c r="AK243">
        <v>668.27</v>
      </c>
      <c r="AL243">
        <v>51.8</v>
      </c>
      <c r="AM243">
        <v>6362.06</v>
      </c>
      <c r="AN243" t="b">
        <v>1</v>
      </c>
      <c r="AO243">
        <v>6</v>
      </c>
    </row>
    <row r="244" spans="1:41" x14ac:dyDescent="0.35">
      <c r="A244" t="s">
        <v>1191</v>
      </c>
      <c r="B244" s="1">
        <v>44688</v>
      </c>
      <c r="C244" s="2">
        <v>0.83858796296296301</v>
      </c>
      <c r="D244" t="s">
        <v>41</v>
      </c>
      <c r="E244" t="s">
        <v>77</v>
      </c>
      <c r="F244" t="s">
        <v>1192</v>
      </c>
      <c r="G244" t="s">
        <v>1193</v>
      </c>
      <c r="H244">
        <v>58</v>
      </c>
      <c r="I244" t="s">
        <v>43</v>
      </c>
      <c r="J244" t="s">
        <v>88</v>
      </c>
      <c r="K244" t="s">
        <v>45</v>
      </c>
      <c r="L244" t="s">
        <v>1194</v>
      </c>
      <c r="M244" t="s">
        <v>105</v>
      </c>
      <c r="N244" t="s">
        <v>47</v>
      </c>
      <c r="O244" t="s">
        <v>106</v>
      </c>
      <c r="P244">
        <v>65013</v>
      </c>
      <c r="Q244" t="s">
        <v>113</v>
      </c>
      <c r="R244" t="s">
        <v>50</v>
      </c>
      <c r="S244" t="s">
        <v>51</v>
      </c>
      <c r="T244" t="s">
        <v>52</v>
      </c>
      <c r="U244" t="s">
        <v>97</v>
      </c>
      <c r="V244" t="s">
        <v>54</v>
      </c>
      <c r="W244" t="s">
        <v>41</v>
      </c>
      <c r="X244" t="s">
        <v>156</v>
      </c>
      <c r="Y244" t="s">
        <v>108</v>
      </c>
      <c r="Z244" t="s">
        <v>157</v>
      </c>
      <c r="AA244" t="s">
        <v>206</v>
      </c>
      <c r="AB244">
        <v>0</v>
      </c>
      <c r="AC244">
        <v>0</v>
      </c>
      <c r="AD244">
        <v>8</v>
      </c>
      <c r="AE244">
        <v>1662.17</v>
      </c>
      <c r="AF244">
        <v>0</v>
      </c>
      <c r="AG244">
        <v>116.35</v>
      </c>
      <c r="AH244">
        <v>39.229999999999997</v>
      </c>
      <c r="AI244">
        <v>1817.75</v>
      </c>
      <c r="AJ244">
        <v>640.51</v>
      </c>
      <c r="AK244">
        <v>1138.01</v>
      </c>
      <c r="AL244">
        <v>62.61</v>
      </c>
      <c r="AM244">
        <v>10718.85</v>
      </c>
      <c r="AN244" t="b">
        <v>1</v>
      </c>
      <c r="AO244">
        <v>11</v>
      </c>
    </row>
    <row r="245" spans="1:41" x14ac:dyDescent="0.35">
      <c r="A245" t="s">
        <v>1195</v>
      </c>
      <c r="B245" s="1">
        <v>44380</v>
      </c>
      <c r="C245" s="2">
        <v>0.90633101851851849</v>
      </c>
      <c r="D245" t="s">
        <v>41</v>
      </c>
      <c r="E245" t="s">
        <v>42</v>
      </c>
      <c r="F245" t="s">
        <v>1196</v>
      </c>
      <c r="G245" t="s">
        <v>1197</v>
      </c>
      <c r="H245">
        <v>70</v>
      </c>
      <c r="I245" t="s">
        <v>173</v>
      </c>
      <c r="J245" t="s">
        <v>68</v>
      </c>
      <c r="K245" t="s">
        <v>45</v>
      </c>
      <c r="L245" t="s">
        <v>1198</v>
      </c>
      <c r="M245" t="s">
        <v>358</v>
      </c>
      <c r="N245" t="s">
        <v>338</v>
      </c>
      <c r="O245" t="s">
        <v>118</v>
      </c>
      <c r="P245">
        <v>9048</v>
      </c>
      <c r="Q245" t="s">
        <v>137</v>
      </c>
      <c r="R245" t="s">
        <v>50</v>
      </c>
      <c r="S245" t="s">
        <v>339</v>
      </c>
      <c r="T245" t="s">
        <v>52</v>
      </c>
      <c r="U245" t="s">
        <v>53</v>
      </c>
      <c r="V245" t="s">
        <v>54</v>
      </c>
      <c r="W245" t="s">
        <v>41</v>
      </c>
      <c r="X245" t="s">
        <v>55</v>
      </c>
      <c r="Y245" t="s">
        <v>56</v>
      </c>
      <c r="Z245" t="s">
        <v>57</v>
      </c>
      <c r="AA245" t="s">
        <v>76</v>
      </c>
      <c r="AB245">
        <v>0</v>
      </c>
      <c r="AC245">
        <v>0</v>
      </c>
      <c r="AD245">
        <v>3</v>
      </c>
      <c r="AE245">
        <v>456.06</v>
      </c>
      <c r="AF245">
        <v>0</v>
      </c>
      <c r="AG245">
        <v>82.09</v>
      </c>
      <c r="AH245">
        <v>2.34</v>
      </c>
      <c r="AI245">
        <v>540.49</v>
      </c>
      <c r="AJ245">
        <v>178.62</v>
      </c>
      <c r="AK245">
        <v>359.53</v>
      </c>
      <c r="AL245">
        <v>66.52</v>
      </c>
      <c r="AM245">
        <v>6986.66</v>
      </c>
      <c r="AN245" t="b">
        <v>1</v>
      </c>
      <c r="AO245">
        <v>4</v>
      </c>
    </row>
    <row r="246" spans="1:41" x14ac:dyDescent="0.35">
      <c r="A246" t="s">
        <v>1199</v>
      </c>
      <c r="B246" s="1">
        <v>44663</v>
      </c>
      <c r="C246" s="2">
        <v>0.71898148148148144</v>
      </c>
      <c r="D246" t="s">
        <v>41</v>
      </c>
      <c r="E246" t="s">
        <v>77</v>
      </c>
      <c r="F246" t="s">
        <v>1200</v>
      </c>
      <c r="G246" t="s">
        <v>1201</v>
      </c>
      <c r="H246">
        <v>62</v>
      </c>
      <c r="I246" t="s">
        <v>43</v>
      </c>
      <c r="J246" t="s">
        <v>88</v>
      </c>
      <c r="K246" t="s">
        <v>45</v>
      </c>
      <c r="L246" t="s">
        <v>1202</v>
      </c>
      <c r="M246" t="s">
        <v>148</v>
      </c>
      <c r="N246" t="s">
        <v>47</v>
      </c>
      <c r="O246" t="s">
        <v>70</v>
      </c>
      <c r="P246">
        <v>92148</v>
      </c>
      <c r="Q246" t="s">
        <v>137</v>
      </c>
      <c r="R246" t="s">
        <v>50</v>
      </c>
      <c r="S246" t="s">
        <v>51</v>
      </c>
      <c r="T246" t="s">
        <v>65</v>
      </c>
      <c r="U246" t="s">
        <v>324</v>
      </c>
      <c r="V246" t="s">
        <v>54</v>
      </c>
      <c r="W246" t="s">
        <v>41</v>
      </c>
      <c r="X246" t="s">
        <v>84</v>
      </c>
      <c r="Y246" t="s">
        <v>56</v>
      </c>
      <c r="Z246" t="s">
        <v>57</v>
      </c>
      <c r="AA246" t="s">
        <v>203</v>
      </c>
      <c r="AB246">
        <v>0</v>
      </c>
      <c r="AC246">
        <v>0</v>
      </c>
      <c r="AD246">
        <v>3</v>
      </c>
      <c r="AE246">
        <v>200.15</v>
      </c>
      <c r="AF246">
        <v>0</v>
      </c>
      <c r="AG246">
        <v>14.01</v>
      </c>
      <c r="AH246">
        <v>29.76</v>
      </c>
      <c r="AI246">
        <v>243.92</v>
      </c>
      <c r="AJ246">
        <v>71</v>
      </c>
      <c r="AK246">
        <v>143.16</v>
      </c>
      <c r="AL246">
        <v>58.69</v>
      </c>
      <c r="AM246">
        <v>6465.45</v>
      </c>
      <c r="AN246" t="b">
        <v>1</v>
      </c>
      <c r="AO246">
        <v>9</v>
      </c>
    </row>
    <row r="247" spans="1:41" x14ac:dyDescent="0.35">
      <c r="A247" t="s">
        <v>1203</v>
      </c>
      <c r="B247" s="1">
        <v>44477</v>
      </c>
      <c r="C247" s="2">
        <v>0.2190162037037037</v>
      </c>
      <c r="D247" t="s">
        <v>41</v>
      </c>
      <c r="E247" t="s">
        <v>77</v>
      </c>
      <c r="F247" t="s">
        <v>1204</v>
      </c>
      <c r="G247" t="s">
        <v>1205</v>
      </c>
      <c r="H247">
        <v>53</v>
      </c>
      <c r="I247" t="s">
        <v>78</v>
      </c>
      <c r="J247" t="s">
        <v>88</v>
      </c>
      <c r="K247" t="s">
        <v>45</v>
      </c>
      <c r="L247" t="s">
        <v>1206</v>
      </c>
      <c r="M247" t="s">
        <v>254</v>
      </c>
      <c r="N247" t="s">
        <v>90</v>
      </c>
      <c r="O247" t="s">
        <v>48</v>
      </c>
      <c r="P247">
        <v>8503</v>
      </c>
      <c r="Q247" t="s">
        <v>137</v>
      </c>
      <c r="R247" t="s">
        <v>50</v>
      </c>
      <c r="S247" t="s">
        <v>91</v>
      </c>
      <c r="T247" t="s">
        <v>71</v>
      </c>
      <c r="U247" t="s">
        <v>211</v>
      </c>
      <c r="V247" t="s">
        <v>54</v>
      </c>
      <c r="W247" t="s">
        <v>41</v>
      </c>
      <c r="X247" t="s">
        <v>55</v>
      </c>
      <c r="Y247" t="s">
        <v>56</v>
      </c>
      <c r="Z247" t="s">
        <v>57</v>
      </c>
      <c r="AA247" t="s">
        <v>248</v>
      </c>
      <c r="AB247">
        <v>0</v>
      </c>
      <c r="AC247">
        <v>0</v>
      </c>
      <c r="AD247">
        <v>8</v>
      </c>
      <c r="AE247">
        <v>2387.9899999999998</v>
      </c>
      <c r="AF247">
        <v>0</v>
      </c>
      <c r="AG247">
        <v>310.44</v>
      </c>
      <c r="AH247">
        <v>25.31</v>
      </c>
      <c r="AI247">
        <v>2723.74</v>
      </c>
      <c r="AJ247">
        <v>1085.01</v>
      </c>
      <c r="AK247">
        <v>1613.42</v>
      </c>
      <c r="AL247">
        <v>59.24</v>
      </c>
      <c r="AM247">
        <v>12435.19</v>
      </c>
      <c r="AN247" t="b">
        <v>1</v>
      </c>
      <c r="AO247">
        <v>8</v>
      </c>
    </row>
    <row r="248" spans="1:41" x14ac:dyDescent="0.35">
      <c r="A248" t="s">
        <v>1208</v>
      </c>
      <c r="B248" s="1">
        <v>45110</v>
      </c>
      <c r="C248" s="2">
        <v>0.83378472222222222</v>
      </c>
      <c r="D248" t="s">
        <v>41</v>
      </c>
      <c r="E248" t="s">
        <v>111</v>
      </c>
      <c r="F248" t="s">
        <v>1209</v>
      </c>
      <c r="G248" t="s">
        <v>1210</v>
      </c>
      <c r="H248">
        <v>33</v>
      </c>
      <c r="I248" t="s">
        <v>43</v>
      </c>
      <c r="J248" t="s">
        <v>88</v>
      </c>
      <c r="K248" t="s">
        <v>45</v>
      </c>
      <c r="L248" t="s">
        <v>1211</v>
      </c>
      <c r="M248" t="s">
        <v>764</v>
      </c>
      <c r="N248" t="s">
        <v>90</v>
      </c>
      <c r="O248" t="s">
        <v>106</v>
      </c>
      <c r="P248">
        <v>13146</v>
      </c>
      <c r="Q248" t="s">
        <v>81</v>
      </c>
      <c r="R248" t="s">
        <v>50</v>
      </c>
      <c r="S248" t="s">
        <v>91</v>
      </c>
      <c r="T248" t="s">
        <v>65</v>
      </c>
      <c r="U248" t="s">
        <v>163</v>
      </c>
      <c r="V248" t="s">
        <v>54</v>
      </c>
      <c r="W248" t="s">
        <v>41</v>
      </c>
      <c r="X248" t="s">
        <v>172</v>
      </c>
      <c r="Y248" t="s">
        <v>108</v>
      </c>
      <c r="Z248" t="s">
        <v>157</v>
      </c>
      <c r="AA248" t="s">
        <v>222</v>
      </c>
      <c r="AB248">
        <v>0</v>
      </c>
      <c r="AC248">
        <v>0</v>
      </c>
      <c r="AD248">
        <v>2</v>
      </c>
      <c r="AE248">
        <v>395.52</v>
      </c>
      <c r="AF248">
        <v>0</v>
      </c>
      <c r="AG248">
        <v>51.42</v>
      </c>
      <c r="AH248">
        <v>34.75</v>
      </c>
      <c r="AI248">
        <v>481.69</v>
      </c>
      <c r="AJ248">
        <v>181.5</v>
      </c>
      <c r="AK248">
        <v>265.44</v>
      </c>
      <c r="AL248">
        <v>55.11</v>
      </c>
      <c r="AM248">
        <v>4612.34</v>
      </c>
      <c r="AN248" t="b">
        <v>1</v>
      </c>
      <c r="AO248">
        <v>6</v>
      </c>
    </row>
    <row r="249" spans="1:41" x14ac:dyDescent="0.35">
      <c r="A249" t="s">
        <v>1212</v>
      </c>
      <c r="B249" s="1">
        <v>45874</v>
      </c>
      <c r="C249" s="2">
        <v>0.49612268518518521</v>
      </c>
      <c r="D249" t="s">
        <v>41</v>
      </c>
      <c r="E249" t="s">
        <v>77</v>
      </c>
      <c r="F249" t="s">
        <v>1213</v>
      </c>
      <c r="G249" t="s">
        <v>1214</v>
      </c>
      <c r="H249">
        <v>35</v>
      </c>
      <c r="I249" t="s">
        <v>43</v>
      </c>
      <c r="J249" t="s">
        <v>60</v>
      </c>
      <c r="K249" t="s">
        <v>45</v>
      </c>
      <c r="L249" t="s">
        <v>1215</v>
      </c>
      <c r="M249" t="s">
        <v>368</v>
      </c>
      <c r="N249" t="s">
        <v>62</v>
      </c>
      <c r="O249" t="s">
        <v>118</v>
      </c>
      <c r="P249">
        <v>95566</v>
      </c>
      <c r="Q249" t="s">
        <v>96</v>
      </c>
      <c r="R249" t="s">
        <v>50</v>
      </c>
      <c r="S249" t="s">
        <v>64</v>
      </c>
      <c r="T249" t="s">
        <v>52</v>
      </c>
      <c r="U249" t="s">
        <v>138</v>
      </c>
      <c r="V249" t="s">
        <v>54</v>
      </c>
      <c r="W249" t="s">
        <v>41</v>
      </c>
      <c r="X249" t="s">
        <v>98</v>
      </c>
      <c r="Y249" t="s">
        <v>74</v>
      </c>
      <c r="Z249" t="s">
        <v>139</v>
      </c>
      <c r="AA249" t="s">
        <v>203</v>
      </c>
      <c r="AB249">
        <v>0</v>
      </c>
      <c r="AC249">
        <v>0</v>
      </c>
      <c r="AD249">
        <v>3</v>
      </c>
      <c r="AE249">
        <v>2087.4</v>
      </c>
      <c r="AF249">
        <v>0</v>
      </c>
      <c r="AG249">
        <v>396.61</v>
      </c>
      <c r="AH249">
        <v>5.48</v>
      </c>
      <c r="AI249">
        <v>2489.4899999999998</v>
      </c>
      <c r="AJ249">
        <v>1000.35</v>
      </c>
      <c r="AK249">
        <v>1483.66</v>
      </c>
      <c r="AL249">
        <v>59.6</v>
      </c>
      <c r="AM249">
        <v>15843.42</v>
      </c>
      <c r="AN249" t="b">
        <v>1</v>
      </c>
      <c r="AO249">
        <v>5</v>
      </c>
    </row>
    <row r="250" spans="1:41" x14ac:dyDescent="0.35">
      <c r="A250" t="s">
        <v>1216</v>
      </c>
      <c r="B250" s="1">
        <v>45419</v>
      </c>
      <c r="C250" s="2">
        <v>0.27559027777777778</v>
      </c>
      <c r="D250" t="s">
        <v>41</v>
      </c>
      <c r="E250" t="s">
        <v>77</v>
      </c>
      <c r="F250" t="s">
        <v>1217</v>
      </c>
      <c r="G250" t="s">
        <v>1218</v>
      </c>
      <c r="H250">
        <v>57</v>
      </c>
      <c r="I250" t="s">
        <v>78</v>
      </c>
      <c r="J250" t="s">
        <v>88</v>
      </c>
      <c r="K250" t="s">
        <v>45</v>
      </c>
      <c r="L250" t="s">
        <v>719</v>
      </c>
      <c r="M250" t="s">
        <v>154</v>
      </c>
      <c r="N250" t="s">
        <v>47</v>
      </c>
      <c r="O250" t="s">
        <v>48</v>
      </c>
      <c r="P250">
        <v>73425</v>
      </c>
      <c r="Q250" t="s">
        <v>137</v>
      </c>
      <c r="R250" t="s">
        <v>50</v>
      </c>
      <c r="S250" t="s">
        <v>51</v>
      </c>
      <c r="T250" t="s">
        <v>71</v>
      </c>
      <c r="U250" t="s">
        <v>92</v>
      </c>
      <c r="V250" t="s">
        <v>54</v>
      </c>
      <c r="W250" t="s">
        <v>41</v>
      </c>
      <c r="X250" t="s">
        <v>98</v>
      </c>
      <c r="Y250" t="s">
        <v>255</v>
      </c>
      <c r="Z250" t="s">
        <v>57</v>
      </c>
      <c r="AA250" t="s">
        <v>247</v>
      </c>
      <c r="AB250">
        <v>0</v>
      </c>
      <c r="AC250">
        <v>0</v>
      </c>
      <c r="AD250">
        <v>2</v>
      </c>
      <c r="AE250">
        <v>408.79</v>
      </c>
      <c r="AF250">
        <v>0</v>
      </c>
      <c r="AG250">
        <v>28.62</v>
      </c>
      <c r="AH250">
        <v>9.6999999999999993</v>
      </c>
      <c r="AI250">
        <v>447.11</v>
      </c>
      <c r="AJ250">
        <v>265.82</v>
      </c>
      <c r="AK250">
        <v>171.59</v>
      </c>
      <c r="AL250">
        <v>38.380000000000003</v>
      </c>
      <c r="AM250">
        <v>5023.67</v>
      </c>
      <c r="AN250" t="b">
        <v>1</v>
      </c>
      <c r="AO250">
        <v>7</v>
      </c>
    </row>
    <row r="251" spans="1:41" x14ac:dyDescent="0.35">
      <c r="A251" t="s">
        <v>1219</v>
      </c>
      <c r="B251" s="1">
        <v>45849</v>
      </c>
      <c r="C251" s="2">
        <v>8.6585648148148148E-2</v>
      </c>
      <c r="D251" t="s">
        <v>41</v>
      </c>
      <c r="E251" t="s">
        <v>42</v>
      </c>
      <c r="F251" t="s">
        <v>1220</v>
      </c>
      <c r="G251" t="s">
        <v>1221</v>
      </c>
      <c r="H251">
        <v>47</v>
      </c>
      <c r="I251" t="s">
        <v>78</v>
      </c>
      <c r="J251" t="s">
        <v>88</v>
      </c>
      <c r="K251" t="s">
        <v>45</v>
      </c>
      <c r="L251" t="s">
        <v>1222</v>
      </c>
      <c r="M251" t="s">
        <v>130</v>
      </c>
      <c r="N251" t="s">
        <v>47</v>
      </c>
      <c r="O251" t="s">
        <v>70</v>
      </c>
      <c r="P251">
        <v>65485</v>
      </c>
      <c r="Q251" t="s">
        <v>96</v>
      </c>
      <c r="R251" t="s">
        <v>50</v>
      </c>
      <c r="S251" t="s">
        <v>51</v>
      </c>
      <c r="T251" t="s">
        <v>65</v>
      </c>
      <c r="U251" t="s">
        <v>72</v>
      </c>
      <c r="V251" t="s">
        <v>54</v>
      </c>
      <c r="W251" t="s">
        <v>41</v>
      </c>
      <c r="X251" t="s">
        <v>156</v>
      </c>
      <c r="Y251" t="s">
        <v>74</v>
      </c>
      <c r="Z251" t="s">
        <v>75</v>
      </c>
      <c r="AA251" t="s">
        <v>244</v>
      </c>
      <c r="AB251">
        <v>0</v>
      </c>
      <c r="AC251">
        <v>0</v>
      </c>
      <c r="AD251">
        <v>1</v>
      </c>
      <c r="AE251">
        <v>481.93</v>
      </c>
      <c r="AF251">
        <v>0</v>
      </c>
      <c r="AG251">
        <v>33.74</v>
      </c>
      <c r="AH251">
        <v>15.47</v>
      </c>
      <c r="AI251">
        <v>531.14</v>
      </c>
      <c r="AJ251">
        <v>306.2</v>
      </c>
      <c r="AK251">
        <v>209.47</v>
      </c>
      <c r="AL251">
        <v>39.44</v>
      </c>
      <c r="AM251">
        <v>4086.48</v>
      </c>
      <c r="AN251" t="b">
        <v>1</v>
      </c>
      <c r="AO251">
        <v>5</v>
      </c>
    </row>
    <row r="252" spans="1:41" x14ac:dyDescent="0.35">
      <c r="A252" t="s">
        <v>1223</v>
      </c>
      <c r="B252" s="1">
        <v>45053</v>
      </c>
      <c r="C252" s="2">
        <v>0.30177083333333332</v>
      </c>
      <c r="D252" t="s">
        <v>41</v>
      </c>
      <c r="E252" t="s">
        <v>42</v>
      </c>
      <c r="F252" t="s">
        <v>1224</v>
      </c>
      <c r="G252" t="s">
        <v>1225</v>
      </c>
      <c r="H252">
        <v>70</v>
      </c>
      <c r="I252" t="s">
        <v>78</v>
      </c>
      <c r="J252" t="s">
        <v>88</v>
      </c>
      <c r="K252" t="s">
        <v>45</v>
      </c>
      <c r="L252" t="s">
        <v>1226</v>
      </c>
      <c r="M252" t="s">
        <v>105</v>
      </c>
      <c r="N252" t="s">
        <v>47</v>
      </c>
      <c r="O252" t="s">
        <v>106</v>
      </c>
      <c r="P252">
        <v>19525</v>
      </c>
      <c r="Q252" t="s">
        <v>96</v>
      </c>
      <c r="R252" t="s">
        <v>50</v>
      </c>
      <c r="S252" t="s">
        <v>51</v>
      </c>
      <c r="T252" t="s">
        <v>52</v>
      </c>
      <c r="U252" t="s">
        <v>243</v>
      </c>
      <c r="V252" t="s">
        <v>54</v>
      </c>
      <c r="W252" t="s">
        <v>41</v>
      </c>
      <c r="X252" t="s">
        <v>172</v>
      </c>
      <c r="Y252" t="s">
        <v>56</v>
      </c>
      <c r="Z252" t="s">
        <v>57</v>
      </c>
      <c r="AA252" t="s">
        <v>248</v>
      </c>
      <c r="AB252">
        <v>0</v>
      </c>
      <c r="AC252">
        <v>0</v>
      </c>
      <c r="AD252">
        <v>4</v>
      </c>
      <c r="AE252">
        <v>829.03</v>
      </c>
      <c r="AF252">
        <v>0</v>
      </c>
      <c r="AG252">
        <v>58.03</v>
      </c>
      <c r="AH252">
        <v>30.35</v>
      </c>
      <c r="AI252">
        <v>917.41</v>
      </c>
      <c r="AJ252">
        <v>479.69</v>
      </c>
      <c r="AK252">
        <v>407.37</v>
      </c>
      <c r="AL252">
        <v>44.4</v>
      </c>
      <c r="AM252">
        <v>6590.91</v>
      </c>
      <c r="AN252" t="b">
        <v>1</v>
      </c>
      <c r="AO252">
        <v>8</v>
      </c>
    </row>
    <row r="253" spans="1:41" x14ac:dyDescent="0.35">
      <c r="A253" t="s">
        <v>1227</v>
      </c>
      <c r="B253" s="1">
        <v>45112</v>
      </c>
      <c r="C253" s="2">
        <v>0.98384259259259255</v>
      </c>
      <c r="D253" t="s">
        <v>41</v>
      </c>
      <c r="E253" t="s">
        <v>77</v>
      </c>
      <c r="F253" t="s">
        <v>1228</v>
      </c>
      <c r="G253" t="s">
        <v>1229</v>
      </c>
      <c r="H253">
        <v>45</v>
      </c>
      <c r="I253" t="s">
        <v>43</v>
      </c>
      <c r="J253" t="s">
        <v>68</v>
      </c>
      <c r="K253" t="s">
        <v>45</v>
      </c>
      <c r="L253" t="s">
        <v>1230</v>
      </c>
      <c r="M253" t="s">
        <v>174</v>
      </c>
      <c r="N253" t="s">
        <v>117</v>
      </c>
      <c r="O253" t="s">
        <v>70</v>
      </c>
      <c r="P253">
        <v>22367</v>
      </c>
      <c r="Q253" t="s">
        <v>113</v>
      </c>
      <c r="R253" t="s">
        <v>50</v>
      </c>
      <c r="S253" t="s">
        <v>119</v>
      </c>
      <c r="T253" t="s">
        <v>52</v>
      </c>
      <c r="U253" t="s">
        <v>138</v>
      </c>
      <c r="V253" t="s">
        <v>54</v>
      </c>
      <c r="W253" t="s">
        <v>41</v>
      </c>
      <c r="X253" t="s">
        <v>176</v>
      </c>
      <c r="Y253" t="s">
        <v>56</v>
      </c>
      <c r="Z253" t="s">
        <v>57</v>
      </c>
      <c r="AA253" t="s">
        <v>326</v>
      </c>
      <c r="AB253">
        <v>0</v>
      </c>
      <c r="AC253">
        <v>0</v>
      </c>
      <c r="AD253">
        <v>7</v>
      </c>
      <c r="AE253">
        <v>1107.05</v>
      </c>
      <c r="AF253">
        <v>0</v>
      </c>
      <c r="AG253">
        <v>110.71</v>
      </c>
      <c r="AH253">
        <v>28.44</v>
      </c>
      <c r="AI253">
        <v>1246.2</v>
      </c>
      <c r="AJ253">
        <v>542.70000000000005</v>
      </c>
      <c r="AK253">
        <v>675.06</v>
      </c>
      <c r="AL253">
        <v>54.17</v>
      </c>
      <c r="AM253">
        <v>10153.17</v>
      </c>
      <c r="AN253" t="b">
        <v>1</v>
      </c>
      <c r="AO253">
        <v>9</v>
      </c>
    </row>
    <row r="254" spans="1:41" x14ac:dyDescent="0.35">
      <c r="A254" t="s">
        <v>1231</v>
      </c>
      <c r="B254" s="1">
        <v>44811</v>
      </c>
      <c r="C254" s="2">
        <v>0.88462962962962965</v>
      </c>
      <c r="D254" t="s">
        <v>41</v>
      </c>
      <c r="E254" t="s">
        <v>42</v>
      </c>
      <c r="F254" t="s">
        <v>1232</v>
      </c>
      <c r="G254" t="s">
        <v>1233</v>
      </c>
      <c r="H254">
        <v>73</v>
      </c>
      <c r="I254" t="s">
        <v>78</v>
      </c>
      <c r="J254" t="s">
        <v>88</v>
      </c>
      <c r="K254" t="s">
        <v>45</v>
      </c>
      <c r="L254" t="s">
        <v>1234</v>
      </c>
      <c r="M254" t="s">
        <v>193</v>
      </c>
      <c r="N254" t="s">
        <v>47</v>
      </c>
      <c r="O254" t="s">
        <v>106</v>
      </c>
      <c r="P254">
        <v>59167</v>
      </c>
      <c r="Q254" t="s">
        <v>96</v>
      </c>
      <c r="R254" t="s">
        <v>50</v>
      </c>
      <c r="S254" t="s">
        <v>51</v>
      </c>
      <c r="T254" t="s">
        <v>71</v>
      </c>
      <c r="U254" t="s">
        <v>211</v>
      </c>
      <c r="V254" t="s">
        <v>54</v>
      </c>
      <c r="W254" t="s">
        <v>41</v>
      </c>
      <c r="X254" t="s">
        <v>73</v>
      </c>
      <c r="Y254" t="s">
        <v>56</v>
      </c>
      <c r="Z254" t="s">
        <v>57</v>
      </c>
      <c r="AA254" t="s">
        <v>416</v>
      </c>
      <c r="AB254">
        <v>0</v>
      </c>
      <c r="AC254">
        <v>0</v>
      </c>
      <c r="AD254">
        <v>1</v>
      </c>
      <c r="AE254">
        <v>93.35</v>
      </c>
      <c r="AF254">
        <v>0</v>
      </c>
      <c r="AG254">
        <v>6.53</v>
      </c>
      <c r="AH254">
        <v>3.94</v>
      </c>
      <c r="AI254">
        <v>103.82</v>
      </c>
      <c r="AJ254">
        <v>29.57</v>
      </c>
      <c r="AK254">
        <v>70.31</v>
      </c>
      <c r="AL254">
        <v>67.72</v>
      </c>
      <c r="AM254">
        <v>13672.64</v>
      </c>
      <c r="AN254" t="b">
        <v>1</v>
      </c>
      <c r="AO254">
        <v>11</v>
      </c>
    </row>
    <row r="255" spans="1:41" x14ac:dyDescent="0.35">
      <c r="A255" t="s">
        <v>1235</v>
      </c>
      <c r="B255" s="1">
        <v>45693</v>
      </c>
      <c r="C255" s="2">
        <v>0.35403935185185187</v>
      </c>
      <c r="D255" t="s">
        <v>41</v>
      </c>
      <c r="E255" t="s">
        <v>111</v>
      </c>
      <c r="F255" t="s">
        <v>1236</v>
      </c>
      <c r="G255" t="s">
        <v>1237</v>
      </c>
      <c r="H255">
        <v>25</v>
      </c>
      <c r="I255" t="s">
        <v>78</v>
      </c>
      <c r="J255" t="s">
        <v>88</v>
      </c>
      <c r="K255" t="s">
        <v>152</v>
      </c>
      <c r="L255" t="s">
        <v>1238</v>
      </c>
      <c r="M255" t="s">
        <v>193</v>
      </c>
      <c r="N255" t="s">
        <v>47</v>
      </c>
      <c r="O255" t="s">
        <v>106</v>
      </c>
      <c r="P255">
        <v>62390</v>
      </c>
      <c r="Q255" t="s">
        <v>96</v>
      </c>
      <c r="R255" t="s">
        <v>50</v>
      </c>
      <c r="S255" t="s">
        <v>51</v>
      </c>
      <c r="T255" t="s">
        <v>52</v>
      </c>
      <c r="U255" t="s">
        <v>211</v>
      </c>
      <c r="V255" t="s">
        <v>54</v>
      </c>
      <c r="W255" t="s">
        <v>41</v>
      </c>
      <c r="X255" t="s">
        <v>73</v>
      </c>
      <c r="Y255" t="s">
        <v>212</v>
      </c>
      <c r="Z255" t="s">
        <v>304</v>
      </c>
      <c r="AA255" t="s">
        <v>309</v>
      </c>
      <c r="AB255">
        <v>0</v>
      </c>
      <c r="AC255">
        <v>0</v>
      </c>
      <c r="AD255">
        <v>3</v>
      </c>
      <c r="AE255">
        <v>505.36</v>
      </c>
      <c r="AF255">
        <v>0</v>
      </c>
      <c r="AG255">
        <v>35.380000000000003</v>
      </c>
      <c r="AH255">
        <v>12.02</v>
      </c>
      <c r="AI255">
        <v>552.76</v>
      </c>
      <c r="AJ255">
        <v>192.57</v>
      </c>
      <c r="AK255">
        <v>348.17</v>
      </c>
      <c r="AL255">
        <v>62.99</v>
      </c>
      <c r="AM255">
        <v>1977.88</v>
      </c>
      <c r="AN255" t="b">
        <v>1</v>
      </c>
      <c r="AO255">
        <v>3</v>
      </c>
    </row>
    <row r="256" spans="1:41" x14ac:dyDescent="0.35">
      <c r="A256" t="s">
        <v>1239</v>
      </c>
      <c r="B256" s="1">
        <v>44778</v>
      </c>
      <c r="C256" s="2">
        <v>0.14576388888888889</v>
      </c>
      <c r="D256" t="s">
        <v>41</v>
      </c>
      <c r="E256" t="s">
        <v>42</v>
      </c>
      <c r="F256" t="s">
        <v>1240</v>
      </c>
      <c r="G256" t="s">
        <v>1241</v>
      </c>
      <c r="H256">
        <v>18</v>
      </c>
      <c r="I256" t="s">
        <v>43</v>
      </c>
      <c r="J256" t="s">
        <v>44</v>
      </c>
      <c r="K256" t="s">
        <v>45</v>
      </c>
      <c r="L256" t="s">
        <v>1242</v>
      </c>
      <c r="M256" t="s">
        <v>154</v>
      </c>
      <c r="N256" t="s">
        <v>47</v>
      </c>
      <c r="O256" t="s">
        <v>48</v>
      </c>
      <c r="P256">
        <v>54457</v>
      </c>
      <c r="Q256" t="s">
        <v>96</v>
      </c>
      <c r="R256" t="s">
        <v>50</v>
      </c>
      <c r="S256" t="s">
        <v>51</v>
      </c>
      <c r="T256" t="s">
        <v>71</v>
      </c>
      <c r="U256" t="s">
        <v>97</v>
      </c>
      <c r="V256" t="s">
        <v>54</v>
      </c>
      <c r="W256" t="s">
        <v>41</v>
      </c>
      <c r="X256" t="s">
        <v>261</v>
      </c>
      <c r="Y256" t="s">
        <v>56</v>
      </c>
      <c r="Z256" t="s">
        <v>57</v>
      </c>
      <c r="AA256" t="s">
        <v>253</v>
      </c>
      <c r="AB256">
        <v>0</v>
      </c>
      <c r="AC256">
        <v>0</v>
      </c>
      <c r="AD256">
        <v>5</v>
      </c>
      <c r="AE256">
        <v>1216.6600000000001</v>
      </c>
      <c r="AF256">
        <v>0</v>
      </c>
      <c r="AG256">
        <v>85.16</v>
      </c>
      <c r="AH256">
        <v>12.68</v>
      </c>
      <c r="AI256">
        <v>1314.5</v>
      </c>
      <c r="AJ256">
        <v>532.07000000000005</v>
      </c>
      <c r="AK256">
        <v>769.75</v>
      </c>
      <c r="AL256">
        <v>58.56</v>
      </c>
      <c r="AM256">
        <v>7797.79</v>
      </c>
      <c r="AN256" t="b">
        <v>1</v>
      </c>
      <c r="AO256">
        <v>8</v>
      </c>
    </row>
    <row r="257" spans="1:41" x14ac:dyDescent="0.35">
      <c r="A257" t="s">
        <v>1243</v>
      </c>
      <c r="B257" s="1">
        <v>45963</v>
      </c>
      <c r="C257" s="2">
        <v>0.66563657407407406</v>
      </c>
      <c r="D257" t="s">
        <v>41</v>
      </c>
      <c r="E257" t="s">
        <v>77</v>
      </c>
      <c r="F257" t="s">
        <v>1244</v>
      </c>
      <c r="G257" t="s">
        <v>1245</v>
      </c>
      <c r="H257">
        <v>42</v>
      </c>
      <c r="I257" t="s">
        <v>78</v>
      </c>
      <c r="J257" t="s">
        <v>88</v>
      </c>
      <c r="K257" t="s">
        <v>45</v>
      </c>
      <c r="L257" t="s">
        <v>1246</v>
      </c>
      <c r="M257" t="s">
        <v>198</v>
      </c>
      <c r="N257" t="s">
        <v>47</v>
      </c>
      <c r="O257" t="s">
        <v>70</v>
      </c>
      <c r="P257">
        <v>90614</v>
      </c>
      <c r="Q257" t="s">
        <v>96</v>
      </c>
      <c r="R257" t="s">
        <v>50</v>
      </c>
      <c r="S257" t="s">
        <v>51</v>
      </c>
      <c r="T257" t="s">
        <v>71</v>
      </c>
      <c r="U257" t="s">
        <v>92</v>
      </c>
      <c r="V257" t="s">
        <v>54</v>
      </c>
      <c r="W257" t="s">
        <v>41</v>
      </c>
      <c r="X257" t="s">
        <v>84</v>
      </c>
      <c r="Y257" t="s">
        <v>108</v>
      </c>
      <c r="Z257" t="s">
        <v>245</v>
      </c>
      <c r="AA257" t="s">
        <v>203</v>
      </c>
      <c r="AB257">
        <v>0</v>
      </c>
      <c r="AC257">
        <v>0</v>
      </c>
      <c r="AD257">
        <v>8</v>
      </c>
      <c r="AE257">
        <v>3195.26</v>
      </c>
      <c r="AF257">
        <v>0</v>
      </c>
      <c r="AG257">
        <v>223.66</v>
      </c>
      <c r="AH257">
        <v>19.63</v>
      </c>
      <c r="AI257">
        <v>3438.55</v>
      </c>
      <c r="AJ257">
        <v>1644.22</v>
      </c>
      <c r="AK257">
        <v>1774.7</v>
      </c>
      <c r="AL257">
        <v>51.61</v>
      </c>
      <c r="AM257">
        <v>6347</v>
      </c>
      <c r="AN257" t="b">
        <v>1</v>
      </c>
      <c r="AO257">
        <v>4</v>
      </c>
    </row>
    <row r="258" spans="1:41" x14ac:dyDescent="0.35">
      <c r="A258" t="s">
        <v>1247</v>
      </c>
      <c r="B258" s="1">
        <v>44512</v>
      </c>
      <c r="C258" s="2">
        <v>0.52516203703703701</v>
      </c>
      <c r="D258" t="s">
        <v>41</v>
      </c>
      <c r="E258" t="s">
        <v>42</v>
      </c>
      <c r="F258" t="s">
        <v>1248</v>
      </c>
      <c r="G258" t="s">
        <v>1249</v>
      </c>
      <c r="H258">
        <v>52</v>
      </c>
      <c r="I258" t="s">
        <v>78</v>
      </c>
      <c r="J258" t="s">
        <v>88</v>
      </c>
      <c r="K258" t="s">
        <v>45</v>
      </c>
      <c r="L258" t="s">
        <v>1250</v>
      </c>
      <c r="M258" t="s">
        <v>445</v>
      </c>
      <c r="N258" t="s">
        <v>338</v>
      </c>
      <c r="O258" t="s">
        <v>70</v>
      </c>
      <c r="P258">
        <v>56990</v>
      </c>
      <c r="Q258" t="s">
        <v>113</v>
      </c>
      <c r="R258" t="s">
        <v>50</v>
      </c>
      <c r="S258" t="s">
        <v>339</v>
      </c>
      <c r="T258" t="s">
        <v>52</v>
      </c>
      <c r="U258" t="s">
        <v>191</v>
      </c>
      <c r="V258" t="s">
        <v>54</v>
      </c>
      <c r="W258" t="s">
        <v>41</v>
      </c>
      <c r="X258" t="s">
        <v>98</v>
      </c>
      <c r="Y258" t="s">
        <v>99</v>
      </c>
      <c r="Z258" t="s">
        <v>57</v>
      </c>
      <c r="AA258" t="s">
        <v>274</v>
      </c>
      <c r="AB258">
        <v>0</v>
      </c>
      <c r="AC258">
        <v>0</v>
      </c>
      <c r="AD258">
        <v>3</v>
      </c>
      <c r="AE258">
        <v>965.34</v>
      </c>
      <c r="AF258">
        <v>0</v>
      </c>
      <c r="AG258">
        <v>173.76</v>
      </c>
      <c r="AH258">
        <v>3.81</v>
      </c>
      <c r="AI258">
        <v>1142.9100000000001</v>
      </c>
      <c r="AJ258">
        <v>553.65</v>
      </c>
      <c r="AK258">
        <v>585.45000000000005</v>
      </c>
      <c r="AL258">
        <v>51.22</v>
      </c>
      <c r="AM258">
        <v>11749.77</v>
      </c>
      <c r="AN258" t="b">
        <v>1</v>
      </c>
      <c r="AO258">
        <v>8</v>
      </c>
    </row>
    <row r="259" spans="1:41" x14ac:dyDescent="0.35">
      <c r="A259" t="s">
        <v>1251</v>
      </c>
      <c r="B259" s="1">
        <v>44380</v>
      </c>
      <c r="C259" s="2">
        <v>0.69824074074074072</v>
      </c>
      <c r="D259" t="s">
        <v>41</v>
      </c>
      <c r="E259" t="s">
        <v>77</v>
      </c>
      <c r="F259" t="s">
        <v>1252</v>
      </c>
      <c r="G259" t="s">
        <v>1253</v>
      </c>
      <c r="H259">
        <v>22</v>
      </c>
      <c r="I259" t="s">
        <v>78</v>
      </c>
      <c r="J259" t="s">
        <v>88</v>
      </c>
      <c r="K259" t="s">
        <v>45</v>
      </c>
      <c r="L259" t="s">
        <v>1254</v>
      </c>
      <c r="M259" t="s">
        <v>112</v>
      </c>
      <c r="N259" t="s">
        <v>47</v>
      </c>
      <c r="O259" t="s">
        <v>48</v>
      </c>
      <c r="P259">
        <v>2003</v>
      </c>
      <c r="Q259" t="s">
        <v>81</v>
      </c>
      <c r="R259" t="s">
        <v>50</v>
      </c>
      <c r="S259" t="s">
        <v>51</v>
      </c>
      <c r="T259" t="s">
        <v>82</v>
      </c>
      <c r="U259" t="s">
        <v>72</v>
      </c>
      <c r="V259" t="s">
        <v>54</v>
      </c>
      <c r="W259" t="s">
        <v>41</v>
      </c>
      <c r="X259" t="s">
        <v>73</v>
      </c>
      <c r="Y259" t="s">
        <v>56</v>
      </c>
      <c r="Z259" t="s">
        <v>57</v>
      </c>
      <c r="AA259" t="s">
        <v>121</v>
      </c>
      <c r="AB259">
        <v>0</v>
      </c>
      <c r="AC259">
        <v>0</v>
      </c>
      <c r="AD259">
        <v>2</v>
      </c>
      <c r="AE259">
        <v>215.9</v>
      </c>
      <c r="AF259">
        <v>0</v>
      </c>
      <c r="AG259">
        <v>15.11</v>
      </c>
      <c r="AH259">
        <v>24.11</v>
      </c>
      <c r="AI259">
        <v>255.12</v>
      </c>
      <c r="AJ259">
        <v>111.66</v>
      </c>
      <c r="AK259">
        <v>119.35</v>
      </c>
      <c r="AL259">
        <v>46.78</v>
      </c>
      <c r="AM259">
        <v>8714.93</v>
      </c>
      <c r="AN259" t="b">
        <v>1</v>
      </c>
      <c r="AO259">
        <v>8</v>
      </c>
    </row>
    <row r="260" spans="1:41" x14ac:dyDescent="0.35">
      <c r="A260" t="s">
        <v>1255</v>
      </c>
      <c r="B260" s="1">
        <v>44994</v>
      </c>
      <c r="C260" s="2">
        <v>0.28858796296296296</v>
      </c>
      <c r="D260" t="s">
        <v>41</v>
      </c>
      <c r="E260" t="s">
        <v>59</v>
      </c>
      <c r="F260" t="s">
        <v>1256</v>
      </c>
      <c r="G260" t="s">
        <v>1257</v>
      </c>
      <c r="H260">
        <v>73</v>
      </c>
      <c r="I260" t="s">
        <v>43</v>
      </c>
      <c r="J260" t="s">
        <v>68</v>
      </c>
      <c r="K260" t="s">
        <v>152</v>
      </c>
      <c r="L260" t="s">
        <v>1258</v>
      </c>
      <c r="M260" t="s">
        <v>79</v>
      </c>
      <c r="N260" t="s">
        <v>47</v>
      </c>
      <c r="O260" t="s">
        <v>80</v>
      </c>
      <c r="P260">
        <v>14771</v>
      </c>
      <c r="Q260" t="s">
        <v>96</v>
      </c>
      <c r="R260" t="s">
        <v>50</v>
      </c>
      <c r="S260" t="s">
        <v>51</v>
      </c>
      <c r="T260" t="s">
        <v>65</v>
      </c>
      <c r="U260" t="s">
        <v>175</v>
      </c>
      <c r="V260" t="s">
        <v>54</v>
      </c>
      <c r="W260" t="s">
        <v>41</v>
      </c>
      <c r="X260" t="s">
        <v>73</v>
      </c>
      <c r="Y260" t="s">
        <v>108</v>
      </c>
      <c r="Z260" t="s">
        <v>157</v>
      </c>
      <c r="AA260" t="s">
        <v>222</v>
      </c>
      <c r="AB260">
        <v>0</v>
      </c>
      <c r="AC260">
        <v>0</v>
      </c>
      <c r="AD260">
        <v>9</v>
      </c>
      <c r="AE260">
        <v>1009.89</v>
      </c>
      <c r="AF260">
        <v>0</v>
      </c>
      <c r="AG260">
        <v>70.7</v>
      </c>
      <c r="AH260">
        <v>37.26</v>
      </c>
      <c r="AI260">
        <v>1117.8499999999999</v>
      </c>
      <c r="AJ260">
        <v>502.63</v>
      </c>
      <c r="AK260">
        <v>577.96</v>
      </c>
      <c r="AL260">
        <v>51.7</v>
      </c>
      <c r="AM260">
        <v>2106.19</v>
      </c>
      <c r="AN260" t="b">
        <v>1</v>
      </c>
      <c r="AO260">
        <v>3</v>
      </c>
    </row>
    <row r="261" spans="1:41" x14ac:dyDescent="0.35">
      <c r="A261" t="s">
        <v>1259</v>
      </c>
      <c r="B261" s="1">
        <v>44993</v>
      </c>
      <c r="C261" s="2">
        <v>0.46516203703703701</v>
      </c>
      <c r="D261" t="s">
        <v>41</v>
      </c>
      <c r="E261" t="s">
        <v>111</v>
      </c>
      <c r="F261" t="s">
        <v>1260</v>
      </c>
      <c r="G261" t="s">
        <v>1261</v>
      </c>
      <c r="H261">
        <v>40</v>
      </c>
      <c r="I261" t="s">
        <v>78</v>
      </c>
      <c r="J261" t="s">
        <v>88</v>
      </c>
      <c r="K261" t="s">
        <v>45</v>
      </c>
      <c r="L261" t="s">
        <v>1262</v>
      </c>
      <c r="M261" t="s">
        <v>154</v>
      </c>
      <c r="N261" t="s">
        <v>47</v>
      </c>
      <c r="O261" t="s">
        <v>48</v>
      </c>
      <c r="P261">
        <v>16025</v>
      </c>
      <c r="Q261" t="s">
        <v>81</v>
      </c>
      <c r="R261" t="s">
        <v>50</v>
      </c>
      <c r="S261" t="s">
        <v>51</v>
      </c>
      <c r="T261" t="s">
        <v>65</v>
      </c>
      <c r="U261" t="s">
        <v>211</v>
      </c>
      <c r="V261" t="s">
        <v>54</v>
      </c>
      <c r="W261" t="s">
        <v>41</v>
      </c>
      <c r="X261" t="s">
        <v>176</v>
      </c>
      <c r="Y261" t="s">
        <v>56</v>
      </c>
      <c r="Z261" t="s">
        <v>57</v>
      </c>
      <c r="AA261" t="s">
        <v>222</v>
      </c>
      <c r="AB261">
        <v>0</v>
      </c>
      <c r="AC261">
        <v>0</v>
      </c>
      <c r="AD261">
        <v>6</v>
      </c>
      <c r="AE261">
        <v>3444.78</v>
      </c>
      <c r="AF261">
        <v>0</v>
      </c>
      <c r="AG261">
        <v>241.13</v>
      </c>
      <c r="AH261">
        <v>20.9</v>
      </c>
      <c r="AI261">
        <v>3706.81</v>
      </c>
      <c r="AJ261">
        <v>1788.18</v>
      </c>
      <c r="AK261">
        <v>1897.73</v>
      </c>
      <c r="AL261">
        <v>51.2</v>
      </c>
      <c r="AM261">
        <v>6885.73</v>
      </c>
      <c r="AN261" t="b">
        <v>1</v>
      </c>
      <c r="AO261">
        <v>6</v>
      </c>
    </row>
    <row r="262" spans="1:41" x14ac:dyDescent="0.35">
      <c r="A262" t="s">
        <v>1263</v>
      </c>
      <c r="B262" s="1">
        <v>45026</v>
      </c>
      <c r="C262" s="2">
        <v>0.54939814814814814</v>
      </c>
      <c r="D262" t="s">
        <v>41</v>
      </c>
      <c r="E262" t="s">
        <v>42</v>
      </c>
      <c r="F262" t="s">
        <v>1264</v>
      </c>
      <c r="G262" t="s">
        <v>1265</v>
      </c>
      <c r="H262">
        <v>44</v>
      </c>
      <c r="I262" t="s">
        <v>173</v>
      </c>
      <c r="J262" t="s">
        <v>44</v>
      </c>
      <c r="K262" t="s">
        <v>152</v>
      </c>
      <c r="L262" t="s">
        <v>1266</v>
      </c>
      <c r="M262" t="s">
        <v>46</v>
      </c>
      <c r="N262" t="s">
        <v>47</v>
      </c>
      <c r="O262" t="s">
        <v>48</v>
      </c>
      <c r="P262">
        <v>18844</v>
      </c>
      <c r="Q262" t="s">
        <v>107</v>
      </c>
      <c r="R262" t="s">
        <v>50</v>
      </c>
      <c r="S262" t="s">
        <v>51</v>
      </c>
      <c r="T262" t="s">
        <v>65</v>
      </c>
      <c r="U262" t="s">
        <v>243</v>
      </c>
      <c r="V262" t="s">
        <v>54</v>
      </c>
      <c r="W262" t="s">
        <v>41</v>
      </c>
      <c r="X262" t="s">
        <v>261</v>
      </c>
      <c r="Y262" t="s">
        <v>131</v>
      </c>
      <c r="Z262" t="s">
        <v>132</v>
      </c>
      <c r="AA262" t="s">
        <v>214</v>
      </c>
      <c r="AB262">
        <v>0</v>
      </c>
      <c r="AC262">
        <v>0</v>
      </c>
      <c r="AD262">
        <v>6</v>
      </c>
      <c r="AE262">
        <v>910.08</v>
      </c>
      <c r="AF262">
        <v>0</v>
      </c>
      <c r="AG262">
        <v>63.71</v>
      </c>
      <c r="AH262">
        <v>45.65</v>
      </c>
      <c r="AI262">
        <v>1019.44</v>
      </c>
      <c r="AJ262">
        <v>455.59</v>
      </c>
      <c r="AK262">
        <v>518.20000000000005</v>
      </c>
      <c r="AL262">
        <v>50.83</v>
      </c>
      <c r="AM262">
        <v>2252.15</v>
      </c>
      <c r="AN262" t="b">
        <v>1</v>
      </c>
      <c r="AO262">
        <v>3</v>
      </c>
    </row>
    <row r="263" spans="1:41" x14ac:dyDescent="0.35">
      <c r="A263" t="s">
        <v>1267</v>
      </c>
      <c r="B263" s="1">
        <v>45752</v>
      </c>
      <c r="C263" s="2">
        <v>0.79142361111111115</v>
      </c>
      <c r="D263" t="s">
        <v>41</v>
      </c>
      <c r="E263" t="s">
        <v>77</v>
      </c>
      <c r="F263" t="s">
        <v>1268</v>
      </c>
      <c r="G263" t="s">
        <v>1269</v>
      </c>
      <c r="H263">
        <v>31</v>
      </c>
      <c r="I263" t="s">
        <v>78</v>
      </c>
      <c r="J263" t="s">
        <v>88</v>
      </c>
      <c r="K263" t="s">
        <v>45</v>
      </c>
      <c r="L263" t="s">
        <v>1270</v>
      </c>
      <c r="M263" t="s">
        <v>164</v>
      </c>
      <c r="N263" t="s">
        <v>165</v>
      </c>
      <c r="O263" t="s">
        <v>70</v>
      </c>
      <c r="P263">
        <v>26926</v>
      </c>
      <c r="Q263" t="s">
        <v>49</v>
      </c>
      <c r="R263" t="s">
        <v>50</v>
      </c>
      <c r="S263" t="s">
        <v>166</v>
      </c>
      <c r="T263" t="s">
        <v>52</v>
      </c>
      <c r="U263" t="s">
        <v>243</v>
      </c>
      <c r="V263" t="s">
        <v>54</v>
      </c>
      <c r="W263" t="s">
        <v>41</v>
      </c>
      <c r="X263" t="s">
        <v>73</v>
      </c>
      <c r="Y263" t="s">
        <v>99</v>
      </c>
      <c r="Z263" t="s">
        <v>57</v>
      </c>
      <c r="AA263" t="s">
        <v>244</v>
      </c>
      <c r="AB263">
        <v>0</v>
      </c>
      <c r="AC263">
        <v>0</v>
      </c>
      <c r="AD263">
        <v>6</v>
      </c>
      <c r="AE263">
        <v>751.45</v>
      </c>
      <c r="AF263">
        <v>0</v>
      </c>
      <c r="AG263">
        <v>37.57</v>
      </c>
      <c r="AH263">
        <v>35.630000000000003</v>
      </c>
      <c r="AI263">
        <v>824.65</v>
      </c>
      <c r="AJ263">
        <v>422.16</v>
      </c>
      <c r="AK263">
        <v>366.86</v>
      </c>
      <c r="AL263">
        <v>44.49</v>
      </c>
      <c r="AM263">
        <v>17507.669999999998</v>
      </c>
      <c r="AN263" t="b">
        <v>1</v>
      </c>
      <c r="AO263">
        <v>11</v>
      </c>
    </row>
    <row r="264" spans="1:41" x14ac:dyDescent="0.35">
      <c r="A264" t="s">
        <v>1271</v>
      </c>
      <c r="B264" s="1">
        <v>45267</v>
      </c>
      <c r="C264" s="2">
        <v>0.83468750000000003</v>
      </c>
      <c r="D264" t="s">
        <v>41</v>
      </c>
      <c r="E264" t="s">
        <v>42</v>
      </c>
      <c r="F264" t="s">
        <v>1272</v>
      </c>
      <c r="G264" t="s">
        <v>1273</v>
      </c>
      <c r="H264">
        <v>73</v>
      </c>
      <c r="I264" t="s">
        <v>43</v>
      </c>
      <c r="J264" t="s">
        <v>88</v>
      </c>
      <c r="K264" t="s">
        <v>45</v>
      </c>
      <c r="L264" t="s">
        <v>1274</v>
      </c>
      <c r="M264" t="s">
        <v>193</v>
      </c>
      <c r="N264" t="s">
        <v>47</v>
      </c>
      <c r="O264" t="s">
        <v>106</v>
      </c>
      <c r="P264">
        <v>6090</v>
      </c>
      <c r="Q264" t="s">
        <v>81</v>
      </c>
      <c r="R264" t="s">
        <v>50</v>
      </c>
      <c r="S264" t="s">
        <v>51</v>
      </c>
      <c r="T264" t="s">
        <v>52</v>
      </c>
      <c r="U264" t="s">
        <v>120</v>
      </c>
      <c r="V264" t="s">
        <v>54</v>
      </c>
      <c r="W264" t="s">
        <v>41</v>
      </c>
      <c r="X264" t="s">
        <v>55</v>
      </c>
      <c r="Y264" t="s">
        <v>212</v>
      </c>
      <c r="Z264" t="s">
        <v>228</v>
      </c>
      <c r="AA264" t="s">
        <v>336</v>
      </c>
      <c r="AB264">
        <v>0</v>
      </c>
      <c r="AC264">
        <v>0</v>
      </c>
      <c r="AD264">
        <v>3</v>
      </c>
      <c r="AE264">
        <v>257.10000000000002</v>
      </c>
      <c r="AF264">
        <v>0</v>
      </c>
      <c r="AG264">
        <v>18</v>
      </c>
      <c r="AH264">
        <v>9.4600000000000009</v>
      </c>
      <c r="AI264">
        <v>284.56</v>
      </c>
      <c r="AJ264">
        <v>121.35</v>
      </c>
      <c r="AK264">
        <v>153.75</v>
      </c>
      <c r="AL264">
        <v>54.03</v>
      </c>
      <c r="AM264">
        <v>3268.04</v>
      </c>
      <c r="AN264" t="b">
        <v>1</v>
      </c>
      <c r="AO264">
        <v>7</v>
      </c>
    </row>
    <row r="265" spans="1:41" x14ac:dyDescent="0.35">
      <c r="A265" t="s">
        <v>1275</v>
      </c>
      <c r="B265" s="1">
        <v>45394</v>
      </c>
      <c r="C265" s="2">
        <v>0.88451388888888893</v>
      </c>
      <c r="D265" t="s">
        <v>41</v>
      </c>
      <c r="E265" t="s">
        <v>59</v>
      </c>
      <c r="F265" t="s">
        <v>1276</v>
      </c>
      <c r="G265" t="s">
        <v>1277</v>
      </c>
      <c r="H265">
        <v>50</v>
      </c>
      <c r="I265" t="s">
        <v>78</v>
      </c>
      <c r="J265" t="s">
        <v>44</v>
      </c>
      <c r="K265" t="s">
        <v>45</v>
      </c>
      <c r="L265" t="s">
        <v>1278</v>
      </c>
      <c r="M265" t="s">
        <v>293</v>
      </c>
      <c r="N265" t="s">
        <v>123</v>
      </c>
      <c r="O265" t="s">
        <v>118</v>
      </c>
      <c r="P265">
        <v>34668</v>
      </c>
      <c r="Q265" t="s">
        <v>81</v>
      </c>
      <c r="R265" t="s">
        <v>50</v>
      </c>
      <c r="S265" t="s">
        <v>124</v>
      </c>
      <c r="T265" t="s">
        <v>52</v>
      </c>
      <c r="U265" t="s">
        <v>97</v>
      </c>
      <c r="V265" t="s">
        <v>54</v>
      </c>
      <c r="W265" t="s">
        <v>41</v>
      </c>
      <c r="X265" t="s">
        <v>261</v>
      </c>
      <c r="Y265" t="s">
        <v>131</v>
      </c>
      <c r="Z265" t="s">
        <v>177</v>
      </c>
      <c r="AA265" t="s">
        <v>214</v>
      </c>
      <c r="AB265">
        <v>0</v>
      </c>
      <c r="AC265">
        <v>0</v>
      </c>
      <c r="AD265">
        <v>2</v>
      </c>
      <c r="AE265">
        <v>739</v>
      </c>
      <c r="AF265">
        <v>0</v>
      </c>
      <c r="AG265">
        <v>147.80000000000001</v>
      </c>
      <c r="AH265">
        <v>1.96</v>
      </c>
      <c r="AI265">
        <v>888.76</v>
      </c>
      <c r="AJ265">
        <v>366.54</v>
      </c>
      <c r="AK265">
        <v>520.26</v>
      </c>
      <c r="AL265">
        <v>58.54</v>
      </c>
      <c r="AM265">
        <v>5882.25</v>
      </c>
      <c r="AN265" t="b">
        <v>1</v>
      </c>
      <c r="AO265">
        <v>4</v>
      </c>
    </row>
    <row r="266" spans="1:41" x14ac:dyDescent="0.35">
      <c r="A266" t="s">
        <v>1279</v>
      </c>
      <c r="B266" s="1">
        <v>44385</v>
      </c>
      <c r="C266" s="2">
        <v>0.26729166666666665</v>
      </c>
      <c r="D266" t="s">
        <v>41</v>
      </c>
      <c r="E266" t="s">
        <v>42</v>
      </c>
      <c r="F266" t="s">
        <v>1280</v>
      </c>
      <c r="G266" t="s">
        <v>1281</v>
      </c>
      <c r="H266">
        <v>34</v>
      </c>
      <c r="I266" t="s">
        <v>43</v>
      </c>
      <c r="J266" t="s">
        <v>88</v>
      </c>
      <c r="K266" t="s">
        <v>45</v>
      </c>
      <c r="L266" t="s">
        <v>820</v>
      </c>
      <c r="M266" t="s">
        <v>160</v>
      </c>
      <c r="N266" t="s">
        <v>123</v>
      </c>
      <c r="O266" t="s">
        <v>118</v>
      </c>
      <c r="P266">
        <v>64466</v>
      </c>
      <c r="Q266" t="s">
        <v>113</v>
      </c>
      <c r="R266" t="s">
        <v>50</v>
      </c>
      <c r="S266" t="s">
        <v>124</v>
      </c>
      <c r="T266" t="s">
        <v>52</v>
      </c>
      <c r="U266" t="s">
        <v>72</v>
      </c>
      <c r="V266" t="s">
        <v>54</v>
      </c>
      <c r="W266" t="s">
        <v>41</v>
      </c>
      <c r="X266" t="s">
        <v>73</v>
      </c>
      <c r="Y266" t="s">
        <v>85</v>
      </c>
      <c r="Z266" t="s">
        <v>146</v>
      </c>
      <c r="AA266" t="s">
        <v>58</v>
      </c>
      <c r="AB266">
        <v>0</v>
      </c>
      <c r="AC266">
        <v>0</v>
      </c>
      <c r="AD266">
        <v>2</v>
      </c>
      <c r="AE266">
        <v>334.97</v>
      </c>
      <c r="AF266">
        <v>0</v>
      </c>
      <c r="AG266">
        <v>67</v>
      </c>
      <c r="AH266">
        <v>8.0399999999999991</v>
      </c>
      <c r="AI266">
        <v>410.01</v>
      </c>
      <c r="AJ266">
        <v>162.97</v>
      </c>
      <c r="AK266">
        <v>239</v>
      </c>
      <c r="AL266">
        <v>58.29</v>
      </c>
      <c r="AM266">
        <v>3983.78</v>
      </c>
      <c r="AN266" t="b">
        <v>1</v>
      </c>
      <c r="AO266">
        <v>7</v>
      </c>
    </row>
    <row r="267" spans="1:41" x14ac:dyDescent="0.35">
      <c r="A267" t="s">
        <v>1282</v>
      </c>
      <c r="B267" s="1">
        <v>44932</v>
      </c>
      <c r="C267" s="2">
        <v>0.21740740740740741</v>
      </c>
      <c r="D267" t="s">
        <v>41</v>
      </c>
      <c r="E267" t="s">
        <v>42</v>
      </c>
      <c r="F267" t="s">
        <v>1283</v>
      </c>
      <c r="G267" t="s">
        <v>1284</v>
      </c>
      <c r="H267">
        <v>50</v>
      </c>
      <c r="I267" t="s">
        <v>78</v>
      </c>
      <c r="J267" t="s">
        <v>88</v>
      </c>
      <c r="K267" t="s">
        <v>45</v>
      </c>
      <c r="L267" t="s">
        <v>1285</v>
      </c>
      <c r="M267" t="s">
        <v>105</v>
      </c>
      <c r="N267" t="s">
        <v>47</v>
      </c>
      <c r="O267" t="s">
        <v>106</v>
      </c>
      <c r="P267">
        <v>33962</v>
      </c>
      <c r="Q267" t="s">
        <v>49</v>
      </c>
      <c r="R267" t="s">
        <v>50</v>
      </c>
      <c r="S267" t="s">
        <v>51</v>
      </c>
      <c r="T267" t="s">
        <v>71</v>
      </c>
      <c r="U267" t="s">
        <v>221</v>
      </c>
      <c r="V267" t="s">
        <v>54</v>
      </c>
      <c r="W267" t="s">
        <v>41</v>
      </c>
      <c r="X267" t="s">
        <v>84</v>
      </c>
      <c r="Y267" t="s">
        <v>131</v>
      </c>
      <c r="Z267" t="s">
        <v>227</v>
      </c>
      <c r="AA267" t="s">
        <v>167</v>
      </c>
      <c r="AB267">
        <v>0</v>
      </c>
      <c r="AC267">
        <v>0</v>
      </c>
      <c r="AD267">
        <v>10</v>
      </c>
      <c r="AE267">
        <v>1450.64</v>
      </c>
      <c r="AF267">
        <v>0</v>
      </c>
      <c r="AG267">
        <v>101.55</v>
      </c>
      <c r="AH267">
        <v>42.8</v>
      </c>
      <c r="AI267">
        <v>1594.99</v>
      </c>
      <c r="AJ267">
        <v>623.91</v>
      </c>
      <c r="AK267">
        <v>928.28</v>
      </c>
      <c r="AL267">
        <v>58.2</v>
      </c>
      <c r="AM267">
        <v>2754.52</v>
      </c>
      <c r="AN267" t="b">
        <v>1</v>
      </c>
      <c r="AO267">
        <v>4</v>
      </c>
    </row>
    <row r="268" spans="1:41" x14ac:dyDescent="0.35">
      <c r="A268" t="s">
        <v>1286</v>
      </c>
      <c r="B268" s="1">
        <v>44414</v>
      </c>
      <c r="C268" s="2">
        <v>0.58990740740740744</v>
      </c>
      <c r="D268" t="s">
        <v>41</v>
      </c>
      <c r="E268" t="s">
        <v>42</v>
      </c>
      <c r="F268" t="s">
        <v>1287</v>
      </c>
      <c r="G268" t="s">
        <v>1288</v>
      </c>
      <c r="H268">
        <v>29</v>
      </c>
      <c r="I268" t="s">
        <v>78</v>
      </c>
      <c r="J268" t="s">
        <v>88</v>
      </c>
      <c r="K268" t="s">
        <v>45</v>
      </c>
      <c r="L268" t="s">
        <v>1289</v>
      </c>
      <c r="M268" t="s">
        <v>323</v>
      </c>
      <c r="N268" t="s">
        <v>117</v>
      </c>
      <c r="O268" t="s">
        <v>106</v>
      </c>
      <c r="P268">
        <v>26243</v>
      </c>
      <c r="Q268" t="s">
        <v>96</v>
      </c>
      <c r="R268" t="s">
        <v>50</v>
      </c>
      <c r="S268" t="s">
        <v>119</v>
      </c>
      <c r="T268" t="s">
        <v>71</v>
      </c>
      <c r="U268" t="s">
        <v>120</v>
      </c>
      <c r="V268" t="s">
        <v>54</v>
      </c>
      <c r="W268" t="s">
        <v>41</v>
      </c>
      <c r="X268" t="s">
        <v>55</v>
      </c>
      <c r="Y268" t="s">
        <v>131</v>
      </c>
      <c r="Z268" t="s">
        <v>227</v>
      </c>
      <c r="AA268" t="s">
        <v>244</v>
      </c>
      <c r="AB268">
        <v>0</v>
      </c>
      <c r="AC268">
        <v>0</v>
      </c>
      <c r="AD268">
        <v>9</v>
      </c>
      <c r="AE268">
        <v>952.06</v>
      </c>
      <c r="AF268">
        <v>0</v>
      </c>
      <c r="AG268">
        <v>95.21</v>
      </c>
      <c r="AH268">
        <v>64.27</v>
      </c>
      <c r="AI268">
        <v>1111.54</v>
      </c>
      <c r="AJ268">
        <v>448.86</v>
      </c>
      <c r="AK268">
        <v>598.41</v>
      </c>
      <c r="AL268">
        <v>53.84</v>
      </c>
      <c r="AM268">
        <v>8930.68</v>
      </c>
      <c r="AN268" t="b">
        <v>1</v>
      </c>
      <c r="AO268">
        <v>8</v>
      </c>
    </row>
    <row r="269" spans="1:41" x14ac:dyDescent="0.35">
      <c r="A269" t="s">
        <v>1290</v>
      </c>
      <c r="B269" s="1">
        <v>45728</v>
      </c>
      <c r="C269" s="2">
        <v>0.3510300925925926</v>
      </c>
      <c r="D269" t="s">
        <v>41</v>
      </c>
      <c r="E269" t="s">
        <v>42</v>
      </c>
      <c r="F269" t="s">
        <v>1291</v>
      </c>
      <c r="G269" t="s">
        <v>1292</v>
      </c>
      <c r="H269">
        <v>26</v>
      </c>
      <c r="I269" t="s">
        <v>78</v>
      </c>
      <c r="J269" t="s">
        <v>88</v>
      </c>
      <c r="K269" t="s">
        <v>45</v>
      </c>
      <c r="L269" t="s">
        <v>1293</v>
      </c>
      <c r="M269" t="s">
        <v>154</v>
      </c>
      <c r="N269" t="s">
        <v>47</v>
      </c>
      <c r="O269" t="s">
        <v>48</v>
      </c>
      <c r="P269">
        <v>66648</v>
      </c>
      <c r="Q269" t="s">
        <v>113</v>
      </c>
      <c r="R269" t="s">
        <v>50</v>
      </c>
      <c r="S269" t="s">
        <v>51</v>
      </c>
      <c r="T269" t="s">
        <v>71</v>
      </c>
      <c r="U269" t="s">
        <v>97</v>
      </c>
      <c r="V269" t="s">
        <v>54</v>
      </c>
      <c r="W269" t="s">
        <v>41</v>
      </c>
      <c r="X269" t="s">
        <v>73</v>
      </c>
      <c r="Y269" t="s">
        <v>99</v>
      </c>
      <c r="Z269" t="s">
        <v>57</v>
      </c>
      <c r="AA269" t="s">
        <v>87</v>
      </c>
      <c r="AB269">
        <v>0</v>
      </c>
      <c r="AC269">
        <v>0</v>
      </c>
      <c r="AD269">
        <v>14</v>
      </c>
      <c r="AE269">
        <v>4005.61</v>
      </c>
      <c r="AF269">
        <v>0</v>
      </c>
      <c r="AG269">
        <v>280.39</v>
      </c>
      <c r="AH269">
        <v>37.68</v>
      </c>
      <c r="AI269">
        <v>4323.68</v>
      </c>
      <c r="AJ269">
        <v>2184.5500000000002</v>
      </c>
      <c r="AK269">
        <v>2101.4499999999998</v>
      </c>
      <c r="AL269">
        <v>48.6</v>
      </c>
      <c r="AM269">
        <v>8139.05</v>
      </c>
      <c r="AN269" t="b">
        <v>1</v>
      </c>
      <c r="AO269">
        <v>6</v>
      </c>
    </row>
    <row r="270" spans="1:41" x14ac:dyDescent="0.35">
      <c r="A270" t="s">
        <v>1294</v>
      </c>
      <c r="B270" s="1">
        <v>44836</v>
      </c>
      <c r="C270" s="2">
        <v>0.45568287037037036</v>
      </c>
      <c r="D270" t="s">
        <v>41</v>
      </c>
      <c r="E270" t="s">
        <v>77</v>
      </c>
      <c r="F270" t="s">
        <v>1295</v>
      </c>
      <c r="G270" t="s">
        <v>1296</v>
      </c>
      <c r="H270">
        <v>27</v>
      </c>
      <c r="I270" t="s">
        <v>43</v>
      </c>
      <c r="J270" t="s">
        <v>44</v>
      </c>
      <c r="K270" t="s">
        <v>45</v>
      </c>
      <c r="L270" t="s">
        <v>1207</v>
      </c>
      <c r="M270" t="s">
        <v>368</v>
      </c>
      <c r="N270" t="s">
        <v>62</v>
      </c>
      <c r="O270" t="s">
        <v>118</v>
      </c>
      <c r="P270">
        <v>14243</v>
      </c>
      <c r="Q270" t="s">
        <v>81</v>
      </c>
      <c r="R270" t="s">
        <v>50</v>
      </c>
      <c r="S270" t="s">
        <v>64</v>
      </c>
      <c r="T270" t="s">
        <v>71</v>
      </c>
      <c r="U270" t="s">
        <v>92</v>
      </c>
      <c r="V270" t="s">
        <v>54</v>
      </c>
      <c r="W270" t="s">
        <v>41</v>
      </c>
      <c r="X270" t="s">
        <v>55</v>
      </c>
      <c r="Y270" t="s">
        <v>108</v>
      </c>
      <c r="Z270" t="s">
        <v>157</v>
      </c>
      <c r="AA270" t="s">
        <v>220</v>
      </c>
      <c r="AB270">
        <v>0</v>
      </c>
      <c r="AC270">
        <v>0</v>
      </c>
      <c r="AD270">
        <v>5</v>
      </c>
      <c r="AE270">
        <v>513.6</v>
      </c>
      <c r="AF270">
        <v>0</v>
      </c>
      <c r="AG270">
        <v>97.58</v>
      </c>
      <c r="AH270">
        <v>0.38</v>
      </c>
      <c r="AI270">
        <v>611.55999999999995</v>
      </c>
      <c r="AJ270">
        <v>302.2</v>
      </c>
      <c r="AK270">
        <v>308.98</v>
      </c>
      <c r="AL270">
        <v>50.52</v>
      </c>
      <c r="AM270">
        <v>12605.59</v>
      </c>
      <c r="AN270" t="b">
        <v>1</v>
      </c>
      <c r="AO270">
        <v>9</v>
      </c>
    </row>
    <row r="271" spans="1:41" x14ac:dyDescent="0.35">
      <c r="A271" t="s">
        <v>1297</v>
      </c>
      <c r="B271" s="1">
        <v>44846</v>
      </c>
      <c r="C271" s="2">
        <v>0.32020833333333332</v>
      </c>
      <c r="D271" t="s">
        <v>41</v>
      </c>
      <c r="E271" t="s">
        <v>42</v>
      </c>
      <c r="F271" t="s">
        <v>1298</v>
      </c>
      <c r="G271" t="s">
        <v>1299</v>
      </c>
      <c r="H271">
        <v>72</v>
      </c>
      <c r="I271" t="s">
        <v>78</v>
      </c>
      <c r="J271" t="s">
        <v>88</v>
      </c>
      <c r="K271" t="s">
        <v>45</v>
      </c>
      <c r="L271" t="s">
        <v>1300</v>
      </c>
      <c r="M271" t="s">
        <v>46</v>
      </c>
      <c r="N271" t="s">
        <v>47</v>
      </c>
      <c r="O271" t="s">
        <v>48</v>
      </c>
      <c r="P271">
        <v>66480</v>
      </c>
      <c r="Q271" t="s">
        <v>96</v>
      </c>
      <c r="R271" t="s">
        <v>50</v>
      </c>
      <c r="S271" t="s">
        <v>51</v>
      </c>
      <c r="T271" t="s">
        <v>52</v>
      </c>
      <c r="U271" t="s">
        <v>324</v>
      </c>
      <c r="V271" t="s">
        <v>54</v>
      </c>
      <c r="W271" t="s">
        <v>41</v>
      </c>
      <c r="X271" t="s">
        <v>156</v>
      </c>
      <c r="Y271" t="s">
        <v>99</v>
      </c>
      <c r="Z271" t="s">
        <v>57</v>
      </c>
      <c r="AA271" t="s">
        <v>247</v>
      </c>
      <c r="AB271">
        <v>0</v>
      </c>
      <c r="AC271">
        <v>0</v>
      </c>
      <c r="AD271">
        <v>9</v>
      </c>
      <c r="AE271">
        <v>2649.2</v>
      </c>
      <c r="AF271">
        <v>0</v>
      </c>
      <c r="AG271">
        <v>185.44</v>
      </c>
      <c r="AH271">
        <v>75.12</v>
      </c>
      <c r="AI271">
        <v>2909.76</v>
      </c>
      <c r="AJ271">
        <v>1355.6</v>
      </c>
      <c r="AK271">
        <v>1479.04</v>
      </c>
      <c r="AL271">
        <v>50.83</v>
      </c>
      <c r="AM271">
        <v>6301.48</v>
      </c>
      <c r="AN271" t="b">
        <v>1</v>
      </c>
      <c r="AO271">
        <v>4</v>
      </c>
    </row>
    <row r="272" spans="1:41" x14ac:dyDescent="0.35">
      <c r="A272" t="s">
        <v>1304</v>
      </c>
      <c r="B272" s="1">
        <v>44842</v>
      </c>
      <c r="C272" s="2">
        <v>0.3737037037037037</v>
      </c>
      <c r="D272" t="s">
        <v>41</v>
      </c>
      <c r="E272" t="s">
        <v>77</v>
      </c>
      <c r="F272" t="s">
        <v>1305</v>
      </c>
      <c r="G272" t="s">
        <v>1306</v>
      </c>
      <c r="H272">
        <v>48</v>
      </c>
      <c r="I272" t="s">
        <v>78</v>
      </c>
      <c r="J272" t="s">
        <v>44</v>
      </c>
      <c r="K272" t="s">
        <v>45</v>
      </c>
      <c r="L272" t="s">
        <v>1307</v>
      </c>
      <c r="M272" t="s">
        <v>105</v>
      </c>
      <c r="N272" t="s">
        <v>47</v>
      </c>
      <c r="O272" t="s">
        <v>106</v>
      </c>
      <c r="P272">
        <v>65018</v>
      </c>
      <c r="Q272" t="s">
        <v>113</v>
      </c>
      <c r="R272" t="s">
        <v>50</v>
      </c>
      <c r="S272" t="s">
        <v>51</v>
      </c>
      <c r="T272" t="s">
        <v>52</v>
      </c>
      <c r="U272" t="s">
        <v>191</v>
      </c>
      <c r="V272" t="s">
        <v>54</v>
      </c>
      <c r="W272" t="s">
        <v>41</v>
      </c>
      <c r="X272" t="s">
        <v>55</v>
      </c>
      <c r="Y272" t="s">
        <v>108</v>
      </c>
      <c r="Z272" t="s">
        <v>245</v>
      </c>
      <c r="AA272" t="s">
        <v>100</v>
      </c>
      <c r="AB272">
        <v>0</v>
      </c>
      <c r="AC272">
        <v>0</v>
      </c>
      <c r="AD272">
        <v>9</v>
      </c>
      <c r="AE272">
        <v>2645.3</v>
      </c>
      <c r="AF272">
        <v>0</v>
      </c>
      <c r="AG272">
        <v>185.17</v>
      </c>
      <c r="AH272">
        <v>11.88</v>
      </c>
      <c r="AI272">
        <v>2842.35</v>
      </c>
      <c r="AJ272">
        <v>1339.45</v>
      </c>
      <c r="AK272">
        <v>1491.02</v>
      </c>
      <c r="AL272">
        <v>52.46</v>
      </c>
      <c r="AM272">
        <v>11261.04</v>
      </c>
      <c r="AN272" t="b">
        <v>1</v>
      </c>
      <c r="AO272">
        <v>9</v>
      </c>
    </row>
    <row r="273" spans="1:41" x14ac:dyDescent="0.35">
      <c r="A273" t="s">
        <v>1308</v>
      </c>
      <c r="B273" s="1">
        <v>44752</v>
      </c>
      <c r="C273" s="2">
        <v>0.26745370370370369</v>
      </c>
      <c r="D273" t="s">
        <v>41</v>
      </c>
      <c r="E273" t="s">
        <v>42</v>
      </c>
      <c r="F273" t="s">
        <v>1309</v>
      </c>
      <c r="G273" t="s">
        <v>1310</v>
      </c>
      <c r="H273">
        <v>22</v>
      </c>
      <c r="I273" t="s">
        <v>78</v>
      </c>
      <c r="J273" t="s">
        <v>88</v>
      </c>
      <c r="K273" t="s">
        <v>45</v>
      </c>
      <c r="L273" t="s">
        <v>1311</v>
      </c>
      <c r="M273" t="s">
        <v>105</v>
      </c>
      <c r="N273" t="s">
        <v>47</v>
      </c>
      <c r="O273" t="s">
        <v>106</v>
      </c>
      <c r="P273">
        <v>52445</v>
      </c>
      <c r="Q273" t="s">
        <v>63</v>
      </c>
      <c r="R273" t="s">
        <v>50</v>
      </c>
      <c r="S273" t="s">
        <v>51</v>
      </c>
      <c r="T273" t="s">
        <v>52</v>
      </c>
      <c r="U273" t="s">
        <v>175</v>
      </c>
      <c r="V273" t="s">
        <v>54</v>
      </c>
      <c r="W273" t="s">
        <v>41</v>
      </c>
      <c r="X273" t="s">
        <v>55</v>
      </c>
      <c r="Y273" t="s">
        <v>56</v>
      </c>
      <c r="Z273" t="s">
        <v>57</v>
      </c>
      <c r="AA273" t="s">
        <v>244</v>
      </c>
      <c r="AB273">
        <v>0</v>
      </c>
      <c r="AC273">
        <v>0</v>
      </c>
      <c r="AD273">
        <v>4</v>
      </c>
      <c r="AE273">
        <v>1511.58</v>
      </c>
      <c r="AF273">
        <v>0</v>
      </c>
      <c r="AG273">
        <v>105.81</v>
      </c>
      <c r="AH273">
        <v>9.64</v>
      </c>
      <c r="AI273">
        <v>1627.03</v>
      </c>
      <c r="AJ273">
        <v>683.7</v>
      </c>
      <c r="AK273">
        <v>933.69</v>
      </c>
      <c r="AL273">
        <v>57.39</v>
      </c>
      <c r="AM273">
        <v>4371.71</v>
      </c>
      <c r="AN273" t="b">
        <v>1</v>
      </c>
      <c r="AO273">
        <v>5</v>
      </c>
    </row>
    <row r="274" spans="1:41" x14ac:dyDescent="0.35">
      <c r="A274" t="s">
        <v>1312</v>
      </c>
      <c r="B274" s="1">
        <v>44874</v>
      </c>
      <c r="C274" s="2">
        <v>0.22402777777777777</v>
      </c>
      <c r="D274" t="s">
        <v>41</v>
      </c>
      <c r="E274" t="s">
        <v>77</v>
      </c>
      <c r="F274" t="s">
        <v>1313</v>
      </c>
      <c r="G274" t="s">
        <v>1314</v>
      </c>
      <c r="H274">
        <v>66</v>
      </c>
      <c r="I274" t="s">
        <v>43</v>
      </c>
      <c r="J274" t="s">
        <v>88</v>
      </c>
      <c r="K274" t="s">
        <v>45</v>
      </c>
      <c r="L274" t="s">
        <v>1315</v>
      </c>
      <c r="M274" t="s">
        <v>293</v>
      </c>
      <c r="N274" t="s">
        <v>123</v>
      </c>
      <c r="O274" t="s">
        <v>118</v>
      </c>
      <c r="P274">
        <v>24114</v>
      </c>
      <c r="Q274" t="s">
        <v>63</v>
      </c>
      <c r="R274" t="s">
        <v>50</v>
      </c>
      <c r="S274" t="s">
        <v>124</v>
      </c>
      <c r="T274" t="s">
        <v>52</v>
      </c>
      <c r="U274" t="s">
        <v>324</v>
      </c>
      <c r="V274" t="s">
        <v>54</v>
      </c>
      <c r="W274" t="s">
        <v>41</v>
      </c>
      <c r="X274" t="s">
        <v>156</v>
      </c>
      <c r="Y274" t="s">
        <v>93</v>
      </c>
      <c r="Z274" t="s">
        <v>94</v>
      </c>
      <c r="AA274" t="s">
        <v>326</v>
      </c>
      <c r="AB274">
        <v>0</v>
      </c>
      <c r="AC274">
        <v>0</v>
      </c>
      <c r="AD274">
        <v>4</v>
      </c>
      <c r="AE274">
        <v>206.6</v>
      </c>
      <c r="AF274">
        <v>0</v>
      </c>
      <c r="AG274">
        <v>41.32</v>
      </c>
      <c r="AH274">
        <v>4.54</v>
      </c>
      <c r="AI274">
        <v>252.46</v>
      </c>
      <c r="AJ274">
        <v>99.52</v>
      </c>
      <c r="AK274">
        <v>148.4</v>
      </c>
      <c r="AL274">
        <v>58.78</v>
      </c>
      <c r="AM274">
        <v>6727.08</v>
      </c>
      <c r="AN274" t="b">
        <v>1</v>
      </c>
      <c r="AO274">
        <v>6</v>
      </c>
    </row>
    <row r="275" spans="1:41" x14ac:dyDescent="0.35">
      <c r="A275" t="s">
        <v>1316</v>
      </c>
      <c r="B275" s="1">
        <v>44961</v>
      </c>
      <c r="C275" s="2">
        <v>0.94436342592592593</v>
      </c>
      <c r="D275" t="s">
        <v>41</v>
      </c>
      <c r="E275" t="s">
        <v>77</v>
      </c>
      <c r="F275" t="s">
        <v>1317</v>
      </c>
      <c r="G275" t="s">
        <v>1318</v>
      </c>
      <c r="H275">
        <v>54</v>
      </c>
      <c r="I275" t="s">
        <v>78</v>
      </c>
      <c r="J275" t="s">
        <v>68</v>
      </c>
      <c r="K275" t="s">
        <v>45</v>
      </c>
      <c r="L275" t="s">
        <v>1319</v>
      </c>
      <c r="M275" t="s">
        <v>79</v>
      </c>
      <c r="N275" t="s">
        <v>47</v>
      </c>
      <c r="O275" t="s">
        <v>80</v>
      </c>
      <c r="P275">
        <v>78766</v>
      </c>
      <c r="Q275" t="s">
        <v>137</v>
      </c>
      <c r="R275" t="s">
        <v>50</v>
      </c>
      <c r="S275" t="s">
        <v>51</v>
      </c>
      <c r="T275" t="s">
        <v>52</v>
      </c>
      <c r="U275" t="s">
        <v>92</v>
      </c>
      <c r="V275" t="s">
        <v>54</v>
      </c>
      <c r="W275" t="s">
        <v>41</v>
      </c>
      <c r="X275" t="s">
        <v>84</v>
      </c>
      <c r="Y275" t="s">
        <v>56</v>
      </c>
      <c r="Z275" t="s">
        <v>57</v>
      </c>
      <c r="AA275" t="s">
        <v>246</v>
      </c>
      <c r="AB275">
        <v>0</v>
      </c>
      <c r="AC275">
        <v>0</v>
      </c>
      <c r="AD275">
        <v>5</v>
      </c>
      <c r="AE275">
        <v>1575.5</v>
      </c>
      <c r="AF275">
        <v>0</v>
      </c>
      <c r="AG275">
        <v>110.28</v>
      </c>
      <c r="AH275">
        <v>26.44</v>
      </c>
      <c r="AI275">
        <v>1712.22</v>
      </c>
      <c r="AJ275">
        <v>760.47</v>
      </c>
      <c r="AK275">
        <v>925.31</v>
      </c>
      <c r="AL275">
        <v>54.04</v>
      </c>
      <c r="AM275">
        <v>11235.58</v>
      </c>
      <c r="AN275" t="b">
        <v>1</v>
      </c>
      <c r="AO275">
        <v>6</v>
      </c>
    </row>
    <row r="276" spans="1:41" x14ac:dyDescent="0.35">
      <c r="A276" t="s">
        <v>1320</v>
      </c>
      <c r="B276" s="1">
        <v>44937</v>
      </c>
      <c r="C276" s="2">
        <v>0.14408564814814814</v>
      </c>
      <c r="D276" t="s">
        <v>41</v>
      </c>
      <c r="E276" t="s">
        <v>42</v>
      </c>
      <c r="F276" t="s">
        <v>1321</v>
      </c>
      <c r="G276" t="s">
        <v>1322</v>
      </c>
      <c r="H276">
        <v>50</v>
      </c>
      <c r="I276" t="s">
        <v>78</v>
      </c>
      <c r="J276" t="s">
        <v>88</v>
      </c>
      <c r="K276" t="s">
        <v>45</v>
      </c>
      <c r="L276" t="s">
        <v>1323</v>
      </c>
      <c r="M276" t="s">
        <v>112</v>
      </c>
      <c r="N276" t="s">
        <v>47</v>
      </c>
      <c r="O276" t="s">
        <v>48</v>
      </c>
      <c r="P276">
        <v>43387</v>
      </c>
      <c r="Q276" t="s">
        <v>137</v>
      </c>
      <c r="R276" t="s">
        <v>50</v>
      </c>
      <c r="S276" t="s">
        <v>51</v>
      </c>
      <c r="T276" t="s">
        <v>52</v>
      </c>
      <c r="U276" t="s">
        <v>114</v>
      </c>
      <c r="V276" t="s">
        <v>54</v>
      </c>
      <c r="W276" t="s">
        <v>41</v>
      </c>
      <c r="X276" t="s">
        <v>55</v>
      </c>
      <c r="Y276" t="s">
        <v>85</v>
      </c>
      <c r="Z276" t="s">
        <v>86</v>
      </c>
      <c r="AA276" t="s">
        <v>100</v>
      </c>
      <c r="AB276">
        <v>0</v>
      </c>
      <c r="AC276">
        <v>0</v>
      </c>
      <c r="AD276">
        <v>4</v>
      </c>
      <c r="AE276">
        <v>376.63</v>
      </c>
      <c r="AF276">
        <v>0</v>
      </c>
      <c r="AG276">
        <v>26.37</v>
      </c>
      <c r="AH276">
        <v>16.2</v>
      </c>
      <c r="AI276">
        <v>419.2</v>
      </c>
      <c r="AJ276">
        <v>167.13</v>
      </c>
      <c r="AK276">
        <v>235.87</v>
      </c>
      <c r="AL276">
        <v>56.27</v>
      </c>
      <c r="AM276">
        <v>12053.37</v>
      </c>
      <c r="AN276" t="b">
        <v>1</v>
      </c>
      <c r="AO276">
        <v>8</v>
      </c>
    </row>
    <row r="277" spans="1:41" x14ac:dyDescent="0.35">
      <c r="A277" t="s">
        <v>1324</v>
      </c>
      <c r="B277" s="1">
        <v>44603</v>
      </c>
      <c r="C277" s="2">
        <v>0.15488425925925925</v>
      </c>
      <c r="D277" t="s">
        <v>41</v>
      </c>
      <c r="E277" t="s">
        <v>111</v>
      </c>
      <c r="F277" t="s">
        <v>1325</v>
      </c>
      <c r="G277" t="s">
        <v>1326</v>
      </c>
      <c r="H277">
        <v>31</v>
      </c>
      <c r="I277" t="s">
        <v>78</v>
      </c>
      <c r="J277" t="s">
        <v>44</v>
      </c>
      <c r="K277" t="s">
        <v>45</v>
      </c>
      <c r="L277" t="s">
        <v>582</v>
      </c>
      <c r="M277" t="s">
        <v>116</v>
      </c>
      <c r="N277" t="s">
        <v>117</v>
      </c>
      <c r="O277" t="s">
        <v>118</v>
      </c>
      <c r="P277">
        <v>846</v>
      </c>
      <c r="Q277" t="s">
        <v>96</v>
      </c>
      <c r="R277" t="s">
        <v>50</v>
      </c>
      <c r="S277" t="s">
        <v>119</v>
      </c>
      <c r="T277" t="s">
        <v>82</v>
      </c>
      <c r="U277" t="s">
        <v>221</v>
      </c>
      <c r="V277" t="s">
        <v>54</v>
      </c>
      <c r="W277" t="s">
        <v>41</v>
      </c>
      <c r="X277" t="s">
        <v>84</v>
      </c>
      <c r="Y277" t="s">
        <v>56</v>
      </c>
      <c r="Z277" t="s">
        <v>57</v>
      </c>
      <c r="AA277" t="s">
        <v>147</v>
      </c>
      <c r="AB277">
        <v>0</v>
      </c>
      <c r="AC277">
        <v>0</v>
      </c>
      <c r="AD277">
        <v>2</v>
      </c>
      <c r="AE277">
        <v>326.73</v>
      </c>
      <c r="AF277">
        <v>0</v>
      </c>
      <c r="AG277">
        <v>32.68</v>
      </c>
      <c r="AH277">
        <v>51.77</v>
      </c>
      <c r="AI277">
        <v>411.18</v>
      </c>
      <c r="AJ277">
        <v>176.56</v>
      </c>
      <c r="AK277">
        <v>182.85</v>
      </c>
      <c r="AL277">
        <v>44.47</v>
      </c>
      <c r="AM277">
        <v>5908.88</v>
      </c>
      <c r="AN277" t="b">
        <v>1</v>
      </c>
      <c r="AO277">
        <v>8</v>
      </c>
    </row>
    <row r="278" spans="1:41" x14ac:dyDescent="0.35">
      <c r="A278" t="s">
        <v>1327</v>
      </c>
      <c r="B278" s="1">
        <v>44903</v>
      </c>
      <c r="C278" s="2">
        <v>0.23765046296296297</v>
      </c>
      <c r="D278" t="s">
        <v>41</v>
      </c>
      <c r="E278" t="s">
        <v>59</v>
      </c>
      <c r="F278" t="s">
        <v>1328</v>
      </c>
      <c r="G278" t="s">
        <v>1329</v>
      </c>
      <c r="H278">
        <v>54</v>
      </c>
      <c r="I278" t="s">
        <v>43</v>
      </c>
      <c r="J278" t="s">
        <v>44</v>
      </c>
      <c r="K278" t="s">
        <v>45</v>
      </c>
      <c r="L278" t="s">
        <v>1330</v>
      </c>
      <c r="M278" t="s">
        <v>122</v>
      </c>
      <c r="N278" t="s">
        <v>123</v>
      </c>
      <c r="O278" t="s">
        <v>80</v>
      </c>
      <c r="P278">
        <v>6488</v>
      </c>
      <c r="Q278" t="s">
        <v>113</v>
      </c>
      <c r="R278" t="s">
        <v>50</v>
      </c>
      <c r="S278" t="s">
        <v>124</v>
      </c>
      <c r="T278" t="s">
        <v>52</v>
      </c>
      <c r="U278" t="s">
        <v>211</v>
      </c>
      <c r="V278" t="s">
        <v>54</v>
      </c>
      <c r="W278" t="s">
        <v>41</v>
      </c>
      <c r="X278" t="s">
        <v>98</v>
      </c>
      <c r="Y278" t="s">
        <v>99</v>
      </c>
      <c r="Z278" t="s">
        <v>57</v>
      </c>
      <c r="AA278" t="s">
        <v>253</v>
      </c>
      <c r="AB278">
        <v>0</v>
      </c>
      <c r="AC278">
        <v>0</v>
      </c>
      <c r="AD278">
        <v>5</v>
      </c>
      <c r="AE278">
        <v>1458.74</v>
      </c>
      <c r="AF278">
        <v>0</v>
      </c>
      <c r="AG278">
        <v>291.75</v>
      </c>
      <c r="AH278">
        <v>20.9</v>
      </c>
      <c r="AI278">
        <v>1771.39</v>
      </c>
      <c r="AJ278">
        <v>759.9</v>
      </c>
      <c r="AK278">
        <v>990.59</v>
      </c>
      <c r="AL278">
        <v>55.92</v>
      </c>
      <c r="AM278">
        <v>19924.28</v>
      </c>
      <c r="AN278" t="b">
        <v>1</v>
      </c>
      <c r="AO278">
        <v>11</v>
      </c>
    </row>
    <row r="279" spans="1:41" x14ac:dyDescent="0.35">
      <c r="A279" t="s">
        <v>1331</v>
      </c>
      <c r="B279" s="1">
        <v>45966</v>
      </c>
      <c r="C279" s="2">
        <v>0.39868055555555554</v>
      </c>
      <c r="D279" t="s">
        <v>41</v>
      </c>
      <c r="E279" t="s">
        <v>111</v>
      </c>
      <c r="F279" t="s">
        <v>1332</v>
      </c>
      <c r="G279" t="s">
        <v>1333</v>
      </c>
      <c r="H279">
        <v>29</v>
      </c>
      <c r="I279" t="s">
        <v>78</v>
      </c>
      <c r="J279" t="s">
        <v>68</v>
      </c>
      <c r="K279" t="s">
        <v>45</v>
      </c>
      <c r="L279" t="s">
        <v>1334</v>
      </c>
      <c r="M279" t="s">
        <v>105</v>
      </c>
      <c r="N279" t="s">
        <v>47</v>
      </c>
      <c r="O279" t="s">
        <v>106</v>
      </c>
      <c r="P279">
        <v>73454</v>
      </c>
      <c r="Q279" t="s">
        <v>49</v>
      </c>
      <c r="R279" t="s">
        <v>50</v>
      </c>
      <c r="S279" t="s">
        <v>51</v>
      </c>
      <c r="T279" t="s">
        <v>71</v>
      </c>
      <c r="U279" t="s">
        <v>72</v>
      </c>
      <c r="V279" t="s">
        <v>54</v>
      </c>
      <c r="W279" t="s">
        <v>41</v>
      </c>
      <c r="X279" t="s">
        <v>55</v>
      </c>
      <c r="Y279" t="s">
        <v>131</v>
      </c>
      <c r="Z279" t="s">
        <v>177</v>
      </c>
      <c r="AA279" t="s">
        <v>309</v>
      </c>
      <c r="AB279">
        <v>0</v>
      </c>
      <c r="AC279">
        <v>0</v>
      </c>
      <c r="AD279">
        <v>10</v>
      </c>
      <c r="AE279">
        <v>1506.7</v>
      </c>
      <c r="AF279">
        <v>0</v>
      </c>
      <c r="AG279">
        <v>105.48</v>
      </c>
      <c r="AH279">
        <v>28.25</v>
      </c>
      <c r="AI279">
        <v>1640.43</v>
      </c>
      <c r="AJ279">
        <v>697.87</v>
      </c>
      <c r="AK279">
        <v>914.31</v>
      </c>
      <c r="AL279">
        <v>55.74</v>
      </c>
      <c r="AM279">
        <v>8511.76</v>
      </c>
      <c r="AN279" t="b">
        <v>1</v>
      </c>
      <c r="AO279">
        <v>6</v>
      </c>
    </row>
    <row r="280" spans="1:41" x14ac:dyDescent="0.35">
      <c r="A280" t="s">
        <v>1335</v>
      </c>
      <c r="B280" s="1">
        <v>44293</v>
      </c>
      <c r="C280" s="2">
        <v>0.55417824074074074</v>
      </c>
      <c r="D280" t="s">
        <v>41</v>
      </c>
      <c r="E280" t="s">
        <v>42</v>
      </c>
      <c r="F280" t="s">
        <v>1336</v>
      </c>
      <c r="G280" t="s">
        <v>1337</v>
      </c>
      <c r="H280">
        <v>18</v>
      </c>
      <c r="I280" t="s">
        <v>78</v>
      </c>
      <c r="J280" t="s">
        <v>88</v>
      </c>
      <c r="K280" t="s">
        <v>45</v>
      </c>
      <c r="L280" t="s">
        <v>1338</v>
      </c>
      <c r="M280" t="s">
        <v>112</v>
      </c>
      <c r="N280" t="s">
        <v>47</v>
      </c>
      <c r="O280" t="s">
        <v>48</v>
      </c>
      <c r="P280">
        <v>38131</v>
      </c>
      <c r="Q280" t="s">
        <v>113</v>
      </c>
      <c r="R280" t="s">
        <v>50</v>
      </c>
      <c r="S280" t="s">
        <v>51</v>
      </c>
      <c r="T280" t="s">
        <v>65</v>
      </c>
      <c r="U280" t="s">
        <v>145</v>
      </c>
      <c r="V280" t="s">
        <v>54</v>
      </c>
      <c r="W280" t="s">
        <v>41</v>
      </c>
      <c r="X280" t="s">
        <v>261</v>
      </c>
      <c r="Y280" t="s">
        <v>56</v>
      </c>
      <c r="Z280" t="s">
        <v>57</v>
      </c>
      <c r="AA280" t="s">
        <v>110</v>
      </c>
      <c r="AB280">
        <v>0</v>
      </c>
      <c r="AC280">
        <v>0</v>
      </c>
      <c r="AD280">
        <v>5</v>
      </c>
      <c r="AE280">
        <v>303.2</v>
      </c>
      <c r="AF280">
        <v>0</v>
      </c>
      <c r="AG280">
        <v>21.22</v>
      </c>
      <c r="AH280">
        <v>15.41</v>
      </c>
      <c r="AI280">
        <v>339.83</v>
      </c>
      <c r="AJ280">
        <v>146.05000000000001</v>
      </c>
      <c r="AK280">
        <v>178.37</v>
      </c>
      <c r="AL280">
        <v>52.49</v>
      </c>
      <c r="AM280">
        <v>6809.76</v>
      </c>
      <c r="AN280" t="b">
        <v>1</v>
      </c>
      <c r="AO280">
        <v>6</v>
      </c>
    </row>
    <row r="281" spans="1:41" x14ac:dyDescent="0.35">
      <c r="A281" t="s">
        <v>1339</v>
      </c>
      <c r="B281" s="1">
        <v>45942</v>
      </c>
      <c r="C281" s="2">
        <v>0.98623842592592592</v>
      </c>
      <c r="D281" t="s">
        <v>41</v>
      </c>
      <c r="E281" t="s">
        <v>77</v>
      </c>
      <c r="F281" t="s">
        <v>401</v>
      </c>
      <c r="G281" t="s">
        <v>402</v>
      </c>
      <c r="H281">
        <v>56</v>
      </c>
      <c r="I281" t="s">
        <v>78</v>
      </c>
      <c r="J281" t="s">
        <v>60</v>
      </c>
      <c r="K281" t="s">
        <v>152</v>
      </c>
      <c r="L281" t="s">
        <v>403</v>
      </c>
      <c r="M281" t="s">
        <v>198</v>
      </c>
      <c r="N281" t="s">
        <v>47</v>
      </c>
      <c r="O281" t="s">
        <v>70</v>
      </c>
      <c r="P281">
        <v>748</v>
      </c>
      <c r="Q281" t="s">
        <v>113</v>
      </c>
      <c r="R281" t="s">
        <v>50</v>
      </c>
      <c r="S281" t="s">
        <v>51</v>
      </c>
      <c r="T281" t="s">
        <v>71</v>
      </c>
      <c r="U281" t="s">
        <v>243</v>
      </c>
      <c r="V281" t="s">
        <v>54</v>
      </c>
      <c r="W281" t="s">
        <v>41</v>
      </c>
      <c r="X281" t="s">
        <v>156</v>
      </c>
      <c r="Y281" t="s">
        <v>85</v>
      </c>
      <c r="Z281" t="s">
        <v>86</v>
      </c>
      <c r="AA281" t="s">
        <v>274</v>
      </c>
      <c r="AB281">
        <v>0</v>
      </c>
      <c r="AC281">
        <v>0</v>
      </c>
      <c r="AD281">
        <v>11</v>
      </c>
      <c r="AE281">
        <v>2014.81</v>
      </c>
      <c r="AF281">
        <v>0</v>
      </c>
      <c r="AG281">
        <v>141.04</v>
      </c>
      <c r="AH281">
        <v>25.6</v>
      </c>
      <c r="AI281">
        <v>2181.4499999999998</v>
      </c>
      <c r="AJ281">
        <v>936.59</v>
      </c>
      <c r="AK281">
        <v>1219.26</v>
      </c>
      <c r="AL281">
        <v>55.89</v>
      </c>
      <c r="AM281">
        <v>11744.43</v>
      </c>
      <c r="AN281" t="b">
        <v>1</v>
      </c>
      <c r="AO281">
        <v>3</v>
      </c>
    </row>
    <row r="282" spans="1:41" x14ac:dyDescent="0.35">
      <c r="A282" t="s">
        <v>1340</v>
      </c>
      <c r="B282" s="1">
        <v>45331</v>
      </c>
      <c r="C282" s="2">
        <v>9.0416666666666673E-2</v>
      </c>
      <c r="D282" t="s">
        <v>41</v>
      </c>
      <c r="E282" t="s">
        <v>42</v>
      </c>
      <c r="F282" t="s">
        <v>1301</v>
      </c>
      <c r="G282" t="s">
        <v>1302</v>
      </c>
      <c r="H282">
        <v>70</v>
      </c>
      <c r="I282" t="s">
        <v>43</v>
      </c>
      <c r="J282" t="s">
        <v>88</v>
      </c>
      <c r="K282" t="s">
        <v>45</v>
      </c>
      <c r="L282" t="s">
        <v>1303</v>
      </c>
      <c r="M282" t="s">
        <v>331</v>
      </c>
      <c r="N282" t="s">
        <v>117</v>
      </c>
      <c r="O282" t="s">
        <v>70</v>
      </c>
      <c r="P282">
        <v>51487</v>
      </c>
      <c r="Q282" t="s">
        <v>113</v>
      </c>
      <c r="R282" t="s">
        <v>50</v>
      </c>
      <c r="S282" t="s">
        <v>119</v>
      </c>
      <c r="T282" t="s">
        <v>52</v>
      </c>
      <c r="U282" t="s">
        <v>83</v>
      </c>
      <c r="V282" t="s">
        <v>54</v>
      </c>
      <c r="W282" t="s">
        <v>41</v>
      </c>
      <c r="X282" t="s">
        <v>176</v>
      </c>
      <c r="Y282" t="s">
        <v>349</v>
      </c>
      <c r="Z282" t="s">
        <v>57</v>
      </c>
      <c r="AA282" t="s">
        <v>67</v>
      </c>
      <c r="AB282">
        <v>0</v>
      </c>
      <c r="AC282">
        <v>0</v>
      </c>
      <c r="AD282">
        <v>8</v>
      </c>
      <c r="AE282">
        <v>587.29</v>
      </c>
      <c r="AF282">
        <v>0</v>
      </c>
      <c r="AG282">
        <v>58.72</v>
      </c>
      <c r="AH282">
        <v>46.89</v>
      </c>
      <c r="AI282">
        <v>692.9</v>
      </c>
      <c r="AJ282">
        <v>246.07</v>
      </c>
      <c r="AK282">
        <v>399.94</v>
      </c>
      <c r="AL282">
        <v>57.72</v>
      </c>
      <c r="AM282">
        <v>2429.87</v>
      </c>
      <c r="AN282" t="b">
        <v>1</v>
      </c>
      <c r="AO282">
        <v>4</v>
      </c>
    </row>
    <row r="283" spans="1:41" x14ac:dyDescent="0.35">
      <c r="A283" t="s">
        <v>1341</v>
      </c>
      <c r="B283" s="1">
        <v>44542</v>
      </c>
      <c r="C283" s="2">
        <v>0.29464120370370372</v>
      </c>
      <c r="D283" t="s">
        <v>41</v>
      </c>
      <c r="E283" t="s">
        <v>59</v>
      </c>
      <c r="F283" t="s">
        <v>1342</v>
      </c>
      <c r="G283" t="s">
        <v>1343</v>
      </c>
      <c r="H283">
        <v>47</v>
      </c>
      <c r="I283" t="s">
        <v>78</v>
      </c>
      <c r="J283" t="s">
        <v>88</v>
      </c>
      <c r="K283" t="s">
        <v>45</v>
      </c>
      <c r="L283" t="s">
        <v>1344</v>
      </c>
      <c r="M283" t="s">
        <v>130</v>
      </c>
      <c r="N283" t="s">
        <v>47</v>
      </c>
      <c r="O283" t="s">
        <v>70</v>
      </c>
      <c r="P283">
        <v>14089</v>
      </c>
      <c r="Q283" t="s">
        <v>113</v>
      </c>
      <c r="R283" t="s">
        <v>50</v>
      </c>
      <c r="S283" t="s">
        <v>51</v>
      </c>
      <c r="T283" t="s">
        <v>52</v>
      </c>
      <c r="U283" t="s">
        <v>145</v>
      </c>
      <c r="V283" t="s">
        <v>54</v>
      </c>
      <c r="W283" t="s">
        <v>41</v>
      </c>
      <c r="X283" t="s">
        <v>55</v>
      </c>
      <c r="Y283" t="s">
        <v>56</v>
      </c>
      <c r="Z283" t="s">
        <v>57</v>
      </c>
      <c r="AA283" t="s">
        <v>144</v>
      </c>
      <c r="AB283">
        <v>0</v>
      </c>
      <c r="AC283">
        <v>0</v>
      </c>
      <c r="AD283">
        <v>8</v>
      </c>
      <c r="AE283">
        <v>3973.21</v>
      </c>
      <c r="AF283">
        <v>0</v>
      </c>
      <c r="AG283">
        <v>278.13</v>
      </c>
      <c r="AH283">
        <v>54.42</v>
      </c>
      <c r="AI283">
        <v>4305.76</v>
      </c>
      <c r="AJ283">
        <v>2037.82</v>
      </c>
      <c r="AK283">
        <v>2213.52</v>
      </c>
      <c r="AL283">
        <v>51.41</v>
      </c>
      <c r="AM283">
        <v>10705.96</v>
      </c>
      <c r="AN283" t="b">
        <v>1</v>
      </c>
      <c r="AO283">
        <v>8</v>
      </c>
    </row>
    <row r="284" spans="1:41" x14ac:dyDescent="0.35">
      <c r="A284" t="s">
        <v>1345</v>
      </c>
      <c r="B284" s="1">
        <v>45118</v>
      </c>
      <c r="C284" s="2">
        <v>0.76203703703703707</v>
      </c>
      <c r="D284" t="s">
        <v>41</v>
      </c>
      <c r="E284" t="s">
        <v>77</v>
      </c>
      <c r="F284" t="s">
        <v>1346</v>
      </c>
      <c r="G284" t="s">
        <v>1347</v>
      </c>
      <c r="H284">
        <v>60</v>
      </c>
      <c r="I284" t="s">
        <v>78</v>
      </c>
      <c r="J284" t="s">
        <v>88</v>
      </c>
      <c r="K284" t="s">
        <v>45</v>
      </c>
      <c r="L284" t="s">
        <v>1348</v>
      </c>
      <c r="M284" t="s">
        <v>318</v>
      </c>
      <c r="N284" t="s">
        <v>90</v>
      </c>
      <c r="O284" t="s">
        <v>106</v>
      </c>
      <c r="P284">
        <v>73885</v>
      </c>
      <c r="Q284" t="s">
        <v>63</v>
      </c>
      <c r="R284" t="s">
        <v>50</v>
      </c>
      <c r="S284" t="s">
        <v>91</v>
      </c>
      <c r="T284" t="s">
        <v>71</v>
      </c>
      <c r="U284" t="s">
        <v>53</v>
      </c>
      <c r="V284" t="s">
        <v>54</v>
      </c>
      <c r="W284" t="s">
        <v>41</v>
      </c>
      <c r="X284" t="s">
        <v>156</v>
      </c>
      <c r="Y284" t="s">
        <v>99</v>
      </c>
      <c r="Z284" t="s">
        <v>57</v>
      </c>
      <c r="AA284" t="s">
        <v>203</v>
      </c>
      <c r="AB284">
        <v>0</v>
      </c>
      <c r="AC284">
        <v>0</v>
      </c>
      <c r="AD284">
        <v>2</v>
      </c>
      <c r="AE284">
        <v>139.32</v>
      </c>
      <c r="AF284">
        <v>0</v>
      </c>
      <c r="AG284">
        <v>18.11</v>
      </c>
      <c r="AH284">
        <v>7.82</v>
      </c>
      <c r="AI284">
        <v>165.25</v>
      </c>
      <c r="AJ284">
        <v>80.12</v>
      </c>
      <c r="AK284">
        <v>77.31</v>
      </c>
      <c r="AL284">
        <v>46.78</v>
      </c>
      <c r="AM284">
        <v>4386.58</v>
      </c>
      <c r="AN284" t="b">
        <v>1</v>
      </c>
      <c r="AO284">
        <v>8</v>
      </c>
    </row>
    <row r="285" spans="1:41" x14ac:dyDescent="0.35">
      <c r="A285" t="s">
        <v>1349</v>
      </c>
      <c r="B285" s="1">
        <v>45508</v>
      </c>
      <c r="C285" s="2">
        <v>0.50777777777777777</v>
      </c>
      <c r="D285" t="s">
        <v>41</v>
      </c>
      <c r="E285" t="s">
        <v>77</v>
      </c>
      <c r="F285" t="s">
        <v>1350</v>
      </c>
      <c r="G285" t="s">
        <v>1351</v>
      </c>
      <c r="H285">
        <v>66</v>
      </c>
      <c r="I285" t="s">
        <v>43</v>
      </c>
      <c r="J285" t="s">
        <v>68</v>
      </c>
      <c r="K285" t="s">
        <v>45</v>
      </c>
      <c r="L285" t="s">
        <v>1352</v>
      </c>
      <c r="M285" t="s">
        <v>142</v>
      </c>
      <c r="N285" t="s">
        <v>47</v>
      </c>
      <c r="O285" t="s">
        <v>70</v>
      </c>
      <c r="P285">
        <v>3469</v>
      </c>
      <c r="Q285" t="s">
        <v>96</v>
      </c>
      <c r="R285" t="s">
        <v>50</v>
      </c>
      <c r="S285" t="s">
        <v>51</v>
      </c>
      <c r="T285" t="s">
        <v>65</v>
      </c>
      <c r="U285" t="s">
        <v>221</v>
      </c>
      <c r="V285" t="s">
        <v>54</v>
      </c>
      <c r="W285" t="s">
        <v>41</v>
      </c>
      <c r="X285" t="s">
        <v>176</v>
      </c>
      <c r="Y285" t="s">
        <v>108</v>
      </c>
      <c r="Z285" t="s">
        <v>109</v>
      </c>
      <c r="AA285" t="s">
        <v>309</v>
      </c>
      <c r="AB285">
        <v>0</v>
      </c>
      <c r="AC285">
        <v>0</v>
      </c>
      <c r="AD285">
        <v>4</v>
      </c>
      <c r="AE285">
        <v>561.1</v>
      </c>
      <c r="AF285">
        <v>0</v>
      </c>
      <c r="AG285">
        <v>39.28</v>
      </c>
      <c r="AH285">
        <v>15.06</v>
      </c>
      <c r="AI285">
        <v>615.44000000000005</v>
      </c>
      <c r="AJ285">
        <v>356.41</v>
      </c>
      <c r="AK285">
        <v>243.97</v>
      </c>
      <c r="AL285">
        <v>39.64</v>
      </c>
      <c r="AM285">
        <v>6289.48</v>
      </c>
      <c r="AN285" t="b">
        <v>1</v>
      </c>
      <c r="AO285">
        <v>7</v>
      </c>
    </row>
    <row r="286" spans="1:41" x14ac:dyDescent="0.35">
      <c r="A286" t="s">
        <v>1353</v>
      </c>
      <c r="B286" s="1">
        <v>45211</v>
      </c>
      <c r="C286" s="2">
        <v>9.4108796296296301E-2</v>
      </c>
      <c r="D286" t="s">
        <v>41</v>
      </c>
      <c r="E286" t="s">
        <v>111</v>
      </c>
      <c r="F286" t="s">
        <v>1354</v>
      </c>
      <c r="G286" t="s">
        <v>1355</v>
      </c>
      <c r="H286">
        <v>40</v>
      </c>
      <c r="I286" t="s">
        <v>43</v>
      </c>
      <c r="J286" t="s">
        <v>68</v>
      </c>
      <c r="K286" t="s">
        <v>45</v>
      </c>
      <c r="L286" t="s">
        <v>1356</v>
      </c>
      <c r="M286" t="s">
        <v>142</v>
      </c>
      <c r="N286" t="s">
        <v>47</v>
      </c>
      <c r="O286" t="s">
        <v>70</v>
      </c>
      <c r="P286">
        <v>99904</v>
      </c>
      <c r="Q286" t="s">
        <v>113</v>
      </c>
      <c r="R286" t="s">
        <v>50</v>
      </c>
      <c r="S286" t="s">
        <v>51</v>
      </c>
      <c r="T286" t="s">
        <v>65</v>
      </c>
      <c r="U286" t="s">
        <v>138</v>
      </c>
      <c r="V286" t="s">
        <v>54</v>
      </c>
      <c r="W286" t="s">
        <v>41</v>
      </c>
      <c r="X286" t="s">
        <v>55</v>
      </c>
      <c r="Y286" t="s">
        <v>131</v>
      </c>
      <c r="Z286" t="s">
        <v>132</v>
      </c>
      <c r="AA286" t="s">
        <v>248</v>
      </c>
      <c r="AB286">
        <v>0</v>
      </c>
      <c r="AC286">
        <v>0</v>
      </c>
      <c r="AD286">
        <v>10</v>
      </c>
      <c r="AE286">
        <v>9012.6</v>
      </c>
      <c r="AF286">
        <v>0</v>
      </c>
      <c r="AG286">
        <v>630.88</v>
      </c>
      <c r="AH286">
        <v>35.57</v>
      </c>
      <c r="AI286">
        <v>9679.0499999999993</v>
      </c>
      <c r="AJ286">
        <v>5551</v>
      </c>
      <c r="AK286">
        <v>4092.48</v>
      </c>
      <c r="AL286">
        <v>42.28</v>
      </c>
      <c r="AM286">
        <v>17489.990000000002</v>
      </c>
      <c r="AN286" t="b">
        <v>1</v>
      </c>
      <c r="AO286">
        <v>6</v>
      </c>
    </row>
    <row r="287" spans="1:41" x14ac:dyDescent="0.35">
      <c r="A287" t="s">
        <v>1357</v>
      </c>
      <c r="B287" s="1">
        <v>45847</v>
      </c>
      <c r="C287" s="2">
        <v>0.82755787037037032</v>
      </c>
      <c r="D287" t="s">
        <v>41</v>
      </c>
      <c r="E287" t="s">
        <v>77</v>
      </c>
      <c r="F287" t="s">
        <v>1358</v>
      </c>
      <c r="G287" t="s">
        <v>1359</v>
      </c>
      <c r="H287">
        <v>25</v>
      </c>
      <c r="I287" t="s">
        <v>78</v>
      </c>
      <c r="J287" t="s">
        <v>68</v>
      </c>
      <c r="K287" t="s">
        <v>45</v>
      </c>
      <c r="L287" t="s">
        <v>1360</v>
      </c>
      <c r="M287" t="s">
        <v>496</v>
      </c>
      <c r="N287" t="s">
        <v>90</v>
      </c>
      <c r="O287" t="s">
        <v>80</v>
      </c>
      <c r="P287">
        <v>48767</v>
      </c>
      <c r="Q287" t="s">
        <v>137</v>
      </c>
      <c r="R287" t="s">
        <v>50</v>
      </c>
      <c r="S287" t="s">
        <v>91</v>
      </c>
      <c r="T287" t="s">
        <v>65</v>
      </c>
      <c r="U287" t="s">
        <v>191</v>
      </c>
      <c r="V287" t="s">
        <v>54</v>
      </c>
      <c r="W287" t="s">
        <v>41</v>
      </c>
      <c r="X287" t="s">
        <v>176</v>
      </c>
      <c r="Y287" t="s">
        <v>255</v>
      </c>
      <c r="Z287" t="s">
        <v>57</v>
      </c>
      <c r="AA287" t="s">
        <v>203</v>
      </c>
      <c r="AB287">
        <v>0</v>
      </c>
      <c r="AC287">
        <v>0</v>
      </c>
      <c r="AD287">
        <v>3</v>
      </c>
      <c r="AE287">
        <v>512.32000000000005</v>
      </c>
      <c r="AF287">
        <v>0</v>
      </c>
      <c r="AG287">
        <v>66.599999999999994</v>
      </c>
      <c r="AH287">
        <v>19.22</v>
      </c>
      <c r="AI287">
        <v>598.14</v>
      </c>
      <c r="AJ287">
        <v>250.47</v>
      </c>
      <c r="AK287">
        <v>328.45</v>
      </c>
      <c r="AL287">
        <v>54.91</v>
      </c>
      <c r="AM287">
        <v>7483.3</v>
      </c>
      <c r="AN287" t="b">
        <v>1</v>
      </c>
      <c r="AO287">
        <v>7</v>
      </c>
    </row>
    <row r="288" spans="1:41" x14ac:dyDescent="0.35">
      <c r="A288" t="s">
        <v>1361</v>
      </c>
      <c r="B288" s="1">
        <v>45024</v>
      </c>
      <c r="C288" s="2">
        <v>0.78621527777777778</v>
      </c>
      <c r="D288" t="s">
        <v>41</v>
      </c>
      <c r="E288" t="s">
        <v>111</v>
      </c>
      <c r="F288" t="s">
        <v>1362</v>
      </c>
      <c r="G288" t="s">
        <v>1363</v>
      </c>
      <c r="H288">
        <v>71</v>
      </c>
      <c r="I288" t="s">
        <v>43</v>
      </c>
      <c r="J288" t="s">
        <v>60</v>
      </c>
      <c r="K288" t="s">
        <v>45</v>
      </c>
      <c r="L288" t="s">
        <v>1364</v>
      </c>
      <c r="M288" t="s">
        <v>337</v>
      </c>
      <c r="N288" t="s">
        <v>338</v>
      </c>
      <c r="O288" t="s">
        <v>80</v>
      </c>
      <c r="P288">
        <v>1494</v>
      </c>
      <c r="Q288" t="s">
        <v>113</v>
      </c>
      <c r="R288" t="s">
        <v>50</v>
      </c>
      <c r="S288" t="s">
        <v>339</v>
      </c>
      <c r="T288" t="s">
        <v>52</v>
      </c>
      <c r="U288" t="s">
        <v>163</v>
      </c>
      <c r="V288" t="s">
        <v>54</v>
      </c>
      <c r="W288" t="s">
        <v>41</v>
      </c>
      <c r="X288" t="s">
        <v>261</v>
      </c>
      <c r="Y288" t="s">
        <v>56</v>
      </c>
      <c r="Z288" t="s">
        <v>57</v>
      </c>
      <c r="AA288" t="s">
        <v>159</v>
      </c>
      <c r="AB288">
        <v>0</v>
      </c>
      <c r="AC288">
        <v>0</v>
      </c>
      <c r="AD288">
        <v>6</v>
      </c>
      <c r="AE288">
        <v>1086.92</v>
      </c>
      <c r="AF288">
        <v>0</v>
      </c>
      <c r="AG288">
        <v>195.65</v>
      </c>
      <c r="AH288">
        <v>18.32</v>
      </c>
      <c r="AI288">
        <v>1300.8900000000001</v>
      </c>
      <c r="AJ288">
        <v>573.70000000000005</v>
      </c>
      <c r="AK288">
        <v>708.87</v>
      </c>
      <c r="AL288">
        <v>54.49</v>
      </c>
      <c r="AM288">
        <v>10061.6</v>
      </c>
      <c r="AN288" t="b">
        <v>1</v>
      </c>
      <c r="AO288">
        <v>10</v>
      </c>
    </row>
    <row r="289" spans="1:41" x14ac:dyDescent="0.35">
      <c r="A289" t="s">
        <v>1365</v>
      </c>
      <c r="B289" s="1">
        <v>44204</v>
      </c>
      <c r="C289" s="2">
        <v>0.58002314814814815</v>
      </c>
      <c r="D289" t="s">
        <v>41</v>
      </c>
      <c r="E289" t="s">
        <v>77</v>
      </c>
      <c r="F289" t="s">
        <v>1366</v>
      </c>
      <c r="G289" t="s">
        <v>1367</v>
      </c>
      <c r="H289">
        <v>65</v>
      </c>
      <c r="I289" t="s">
        <v>43</v>
      </c>
      <c r="J289" t="s">
        <v>88</v>
      </c>
      <c r="K289" t="s">
        <v>45</v>
      </c>
      <c r="L289" t="s">
        <v>1368</v>
      </c>
      <c r="M289" t="s">
        <v>154</v>
      </c>
      <c r="N289" t="s">
        <v>47</v>
      </c>
      <c r="O289" t="s">
        <v>48</v>
      </c>
      <c r="P289">
        <v>22932</v>
      </c>
      <c r="Q289" t="s">
        <v>113</v>
      </c>
      <c r="R289" t="s">
        <v>50</v>
      </c>
      <c r="S289" t="s">
        <v>51</v>
      </c>
      <c r="T289" t="s">
        <v>82</v>
      </c>
      <c r="U289" t="s">
        <v>175</v>
      </c>
      <c r="V289" t="s">
        <v>54</v>
      </c>
      <c r="W289" t="s">
        <v>41</v>
      </c>
      <c r="X289" t="s">
        <v>84</v>
      </c>
      <c r="Y289" t="s">
        <v>56</v>
      </c>
      <c r="Z289" t="s">
        <v>57</v>
      </c>
      <c r="AA289" t="s">
        <v>220</v>
      </c>
      <c r="AB289">
        <v>0</v>
      </c>
      <c r="AC289">
        <v>0</v>
      </c>
      <c r="AD289">
        <v>6</v>
      </c>
      <c r="AE289">
        <v>430.12</v>
      </c>
      <c r="AF289">
        <v>0</v>
      </c>
      <c r="AG289">
        <v>30.1</v>
      </c>
      <c r="AH289">
        <v>63.08</v>
      </c>
      <c r="AI289">
        <v>523.29999999999995</v>
      </c>
      <c r="AJ289">
        <v>150.38999999999999</v>
      </c>
      <c r="AK289">
        <v>309.83</v>
      </c>
      <c r="AL289">
        <v>59.21</v>
      </c>
      <c r="AM289">
        <v>12139.31</v>
      </c>
      <c r="AN289" t="b">
        <v>1</v>
      </c>
      <c r="AO289">
        <v>9</v>
      </c>
    </row>
    <row r="290" spans="1:41" x14ac:dyDescent="0.35">
      <c r="A290" t="s">
        <v>1369</v>
      </c>
      <c r="B290" s="1">
        <v>45334</v>
      </c>
      <c r="C290" s="2">
        <v>0.19710648148148149</v>
      </c>
      <c r="D290" t="s">
        <v>41</v>
      </c>
      <c r="E290" t="s">
        <v>42</v>
      </c>
      <c r="F290" t="s">
        <v>1370</v>
      </c>
      <c r="G290" t="s">
        <v>1371</v>
      </c>
      <c r="H290">
        <v>29</v>
      </c>
      <c r="I290" t="s">
        <v>78</v>
      </c>
      <c r="J290" t="s">
        <v>88</v>
      </c>
      <c r="K290" t="s">
        <v>45</v>
      </c>
      <c r="L290" t="s">
        <v>1372</v>
      </c>
      <c r="M290" t="s">
        <v>79</v>
      </c>
      <c r="N290" t="s">
        <v>47</v>
      </c>
      <c r="O290" t="s">
        <v>80</v>
      </c>
      <c r="P290">
        <v>39447</v>
      </c>
      <c r="Q290" t="s">
        <v>49</v>
      </c>
      <c r="R290" t="s">
        <v>50</v>
      </c>
      <c r="S290" t="s">
        <v>51</v>
      </c>
      <c r="T290" t="s">
        <v>65</v>
      </c>
      <c r="U290" t="s">
        <v>145</v>
      </c>
      <c r="V290" t="s">
        <v>54</v>
      </c>
      <c r="W290" t="s">
        <v>41</v>
      </c>
      <c r="X290" t="s">
        <v>172</v>
      </c>
      <c r="Y290" t="s">
        <v>56</v>
      </c>
      <c r="Z290" t="s">
        <v>57</v>
      </c>
      <c r="AA290" t="s">
        <v>67</v>
      </c>
      <c r="AB290">
        <v>0</v>
      </c>
      <c r="AC290">
        <v>0</v>
      </c>
      <c r="AD290">
        <v>5</v>
      </c>
      <c r="AE290">
        <v>655.29</v>
      </c>
      <c r="AF290">
        <v>0</v>
      </c>
      <c r="AG290">
        <v>45.87</v>
      </c>
      <c r="AH290">
        <v>20.49</v>
      </c>
      <c r="AI290">
        <v>721.65</v>
      </c>
      <c r="AJ290">
        <v>281.2</v>
      </c>
      <c r="AK290">
        <v>419.96</v>
      </c>
      <c r="AL290">
        <v>58.19</v>
      </c>
      <c r="AM290">
        <v>6461.05</v>
      </c>
      <c r="AN290" t="b">
        <v>1</v>
      </c>
      <c r="AO290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2CF7-FBE9-43AB-922D-DA3831A632CC}">
  <dimension ref="A1:B6"/>
  <sheetViews>
    <sheetView workbookViewId="0">
      <selection activeCell="F13" sqref="F13"/>
    </sheetView>
  </sheetViews>
  <sheetFormatPr defaultRowHeight="14.5" x14ac:dyDescent="0.35"/>
  <cols>
    <col min="1" max="1" width="15.36328125" customWidth="1"/>
    <col min="2" max="2" width="11.08984375" bestFit="1" customWidth="1"/>
  </cols>
  <sheetData>
    <row r="1" spans="1:2" x14ac:dyDescent="0.35">
      <c r="A1" s="6" t="s">
        <v>1384</v>
      </c>
      <c r="B1" s="6" t="s">
        <v>1385</v>
      </c>
    </row>
    <row r="2" spans="1:2" x14ac:dyDescent="0.35">
      <c r="A2" t="s">
        <v>1412</v>
      </c>
      <c r="B2" s="3">
        <f>SUM(ECommerce_sales_cleaned!AI2:AI290)</f>
        <v>408221.37999999977</v>
      </c>
    </row>
    <row r="3" spans="1:2" x14ac:dyDescent="0.35">
      <c r="A3" t="s">
        <v>1373</v>
      </c>
      <c r="B3" s="3">
        <f>SUM(ECommerce_sales_cleaned!AK2:AK290)</f>
        <v>217708.16000000018</v>
      </c>
    </row>
    <row r="4" spans="1:2" x14ac:dyDescent="0.35">
      <c r="A4" t="s">
        <v>1382</v>
      </c>
      <c r="B4" s="3">
        <f>COUNT(ECommerce_sales_cleaned[customer_order_count])</f>
        <v>289</v>
      </c>
    </row>
    <row r="5" spans="1:2" x14ac:dyDescent="0.35">
      <c r="A5" t="s">
        <v>1383</v>
      </c>
      <c r="B5" s="3">
        <f>SUM(ECommerce_sales_cleaned!AD2:AD290)</f>
        <v>1491</v>
      </c>
    </row>
    <row r="6" spans="1:2" x14ac:dyDescent="0.35">
      <c r="B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FC02-3B74-419D-8D6D-CCF78645433D}">
  <dimension ref="A1:B7"/>
  <sheetViews>
    <sheetView workbookViewId="0">
      <selection activeCell="J7" sqref="J7"/>
    </sheetView>
  </sheetViews>
  <sheetFormatPr defaultRowHeight="14.5" x14ac:dyDescent="0.35"/>
  <cols>
    <col min="1" max="1" width="15.08984375" customWidth="1"/>
    <col min="2" max="2" width="17.08984375" customWidth="1"/>
  </cols>
  <sheetData>
    <row r="1" spans="1:2" x14ac:dyDescent="0.35">
      <c r="A1" s="7" t="s">
        <v>1375</v>
      </c>
      <c r="B1" s="8" t="s">
        <v>1381</v>
      </c>
    </row>
    <row r="2" spans="1:2" x14ac:dyDescent="0.35">
      <c r="A2" s="9" t="s">
        <v>1376</v>
      </c>
      <c r="B2" s="8">
        <v>75162.889999999985</v>
      </c>
    </row>
    <row r="3" spans="1:2" x14ac:dyDescent="0.35">
      <c r="A3" s="9" t="s">
        <v>1377</v>
      </c>
      <c r="B3" s="8">
        <v>58278.219999999994</v>
      </c>
    </row>
    <row r="4" spans="1:2" x14ac:dyDescent="0.35">
      <c r="A4" s="9" t="s">
        <v>1378</v>
      </c>
      <c r="B4" s="8">
        <v>86687.200000000012</v>
      </c>
    </row>
    <row r="5" spans="1:2" x14ac:dyDescent="0.35">
      <c r="A5" s="9" t="s">
        <v>1379</v>
      </c>
      <c r="B5" s="8">
        <v>84932.569999999978</v>
      </c>
    </row>
    <row r="6" spans="1:2" x14ac:dyDescent="0.35">
      <c r="A6" s="9" t="s">
        <v>1380</v>
      </c>
      <c r="B6" s="8">
        <v>103160.49999999994</v>
      </c>
    </row>
    <row r="7" spans="1:2" x14ac:dyDescent="0.35">
      <c r="A7" s="9" t="s">
        <v>1374</v>
      </c>
      <c r="B7" s="8">
        <v>408221.37999999995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8D16-7F24-40E4-9855-DCE9AABE0F2D}">
  <dimension ref="A1:C6"/>
  <sheetViews>
    <sheetView workbookViewId="0">
      <selection activeCell="D23" sqref="D23"/>
    </sheetView>
  </sheetViews>
  <sheetFormatPr defaultRowHeight="14.5" x14ac:dyDescent="0.35"/>
  <cols>
    <col min="1" max="1" width="16.81640625" customWidth="1"/>
    <col min="2" max="2" width="15.453125" customWidth="1"/>
    <col min="3" max="3" width="15.90625" customWidth="1"/>
  </cols>
  <sheetData>
    <row r="1" spans="1:3" x14ac:dyDescent="0.35">
      <c r="A1" s="7" t="s">
        <v>1411</v>
      </c>
      <c r="B1" s="8" t="s">
        <v>1381</v>
      </c>
      <c r="C1" s="4" t="s">
        <v>1407</v>
      </c>
    </row>
    <row r="2" spans="1:3" x14ac:dyDescent="0.35">
      <c r="A2" s="9" t="s">
        <v>111</v>
      </c>
      <c r="B2" s="8">
        <v>58601.300000000017</v>
      </c>
      <c r="C2" s="3">
        <v>193</v>
      </c>
    </row>
    <row r="3" spans="1:3" x14ac:dyDescent="0.35">
      <c r="A3" s="9" t="s">
        <v>42</v>
      </c>
      <c r="B3" s="8">
        <v>170330.36</v>
      </c>
      <c r="C3" s="3">
        <v>623</v>
      </c>
    </row>
    <row r="4" spans="1:3" x14ac:dyDescent="0.35">
      <c r="A4" s="9" t="s">
        <v>59</v>
      </c>
      <c r="B4" s="8">
        <v>26458.429999999993</v>
      </c>
      <c r="C4" s="3">
        <v>103</v>
      </c>
    </row>
    <row r="5" spans="1:3" x14ac:dyDescent="0.35">
      <c r="A5" s="9" t="s">
        <v>77</v>
      </c>
      <c r="B5" s="8">
        <v>152831.29</v>
      </c>
      <c r="C5" s="3">
        <v>572</v>
      </c>
    </row>
    <row r="6" spans="1:3" x14ac:dyDescent="0.35">
      <c r="A6" s="9" t="s">
        <v>1374</v>
      </c>
      <c r="B6" s="8">
        <v>408221.38</v>
      </c>
      <c r="C6" s="11">
        <v>1491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C5C9-3639-4034-85F4-407D3993038C}">
  <dimension ref="A1:B7"/>
  <sheetViews>
    <sheetView workbookViewId="0">
      <selection activeCell="G18" sqref="G18"/>
    </sheetView>
  </sheetViews>
  <sheetFormatPr defaultRowHeight="14.5" x14ac:dyDescent="0.35"/>
  <cols>
    <col min="1" max="1" width="12" bestFit="1" customWidth="1"/>
    <col min="2" max="2" width="16.36328125" bestFit="1" customWidth="1"/>
  </cols>
  <sheetData>
    <row r="1" spans="1:2" x14ac:dyDescent="0.35">
      <c r="A1" s="7" t="s">
        <v>1408</v>
      </c>
      <c r="B1" s="8" t="s">
        <v>1381</v>
      </c>
    </row>
    <row r="2" spans="1:2" x14ac:dyDescent="0.35">
      <c r="A2" s="9" t="s">
        <v>48</v>
      </c>
      <c r="B2" s="8">
        <v>76804.24000000002</v>
      </c>
    </row>
    <row r="3" spans="1:2" x14ac:dyDescent="0.35">
      <c r="A3" s="9" t="s">
        <v>106</v>
      </c>
      <c r="B3" s="8">
        <v>65296.020000000004</v>
      </c>
    </row>
    <row r="4" spans="1:2" x14ac:dyDescent="0.35">
      <c r="A4" s="9" t="s">
        <v>118</v>
      </c>
      <c r="B4" s="8">
        <v>48876.97</v>
      </c>
    </row>
    <row r="5" spans="1:2" x14ac:dyDescent="0.35">
      <c r="A5" s="9" t="s">
        <v>70</v>
      </c>
      <c r="B5" s="8">
        <v>136646.59999999998</v>
      </c>
    </row>
    <row r="6" spans="1:2" x14ac:dyDescent="0.35">
      <c r="A6" s="9" t="s">
        <v>80</v>
      </c>
      <c r="B6" s="8">
        <v>80597.55</v>
      </c>
    </row>
    <row r="7" spans="1:2" x14ac:dyDescent="0.35">
      <c r="A7" s="9" t="s">
        <v>1374</v>
      </c>
      <c r="B7" s="8">
        <v>408221.37999999995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C871-A52C-4245-8387-87AE186794E8}">
  <dimension ref="A1:E6"/>
  <sheetViews>
    <sheetView workbookViewId="0">
      <selection activeCell="G3" sqref="G3"/>
    </sheetView>
  </sheetViews>
  <sheetFormatPr defaultRowHeight="14.5" x14ac:dyDescent="0.35"/>
  <cols>
    <col min="1" max="1" width="21.36328125" customWidth="1"/>
    <col min="2" max="2" width="17.08984375" customWidth="1"/>
    <col min="3" max="3" width="19.7265625" customWidth="1"/>
    <col min="4" max="4" width="13.54296875" customWidth="1"/>
    <col min="5" max="5" width="32.6328125" customWidth="1"/>
  </cols>
  <sheetData>
    <row r="1" spans="1:5" x14ac:dyDescent="0.35">
      <c r="A1" s="7" t="s">
        <v>1410</v>
      </c>
      <c r="B1" s="8" t="s">
        <v>1381</v>
      </c>
      <c r="C1" s="10" t="s">
        <v>1403</v>
      </c>
      <c r="D1" s="10" t="s">
        <v>1404</v>
      </c>
      <c r="E1" s="10" t="s">
        <v>1405</v>
      </c>
    </row>
    <row r="2" spans="1:5" x14ac:dyDescent="0.35">
      <c r="A2" s="9" t="s">
        <v>60</v>
      </c>
      <c r="B2" s="8">
        <v>34493.25</v>
      </c>
      <c r="C2" s="3">
        <v>28</v>
      </c>
      <c r="D2" s="3">
        <v>18759.55</v>
      </c>
      <c r="E2" s="3">
        <v>55.556785714285702</v>
      </c>
    </row>
    <row r="3" spans="1:5" x14ac:dyDescent="0.35">
      <c r="A3" s="9" t="s">
        <v>88</v>
      </c>
      <c r="B3" s="8">
        <v>208337.03000000009</v>
      </c>
      <c r="C3" s="3">
        <v>151</v>
      </c>
      <c r="D3" s="3">
        <v>111533.21999999996</v>
      </c>
      <c r="E3" s="3">
        <v>54.416688741721842</v>
      </c>
    </row>
    <row r="4" spans="1:5" x14ac:dyDescent="0.35">
      <c r="A4" s="9" t="s">
        <v>68</v>
      </c>
      <c r="B4" s="8">
        <v>102334.04</v>
      </c>
      <c r="C4" s="3">
        <v>65</v>
      </c>
      <c r="D4" s="3">
        <v>53545.259999999995</v>
      </c>
      <c r="E4" s="3">
        <v>53.952923076923064</v>
      </c>
    </row>
    <row r="5" spans="1:5" x14ac:dyDescent="0.35">
      <c r="A5" s="9" t="s">
        <v>44</v>
      </c>
      <c r="B5" s="8">
        <v>63057.060000000012</v>
      </c>
      <c r="C5" s="3">
        <v>45</v>
      </c>
      <c r="D5" s="3">
        <v>33870.129999999997</v>
      </c>
      <c r="E5" s="3">
        <v>54.611333333333341</v>
      </c>
    </row>
    <row r="6" spans="1:5" x14ac:dyDescent="0.35">
      <c r="A6" s="9" t="s">
        <v>1374</v>
      </c>
      <c r="B6" s="8">
        <v>408221.38000000006</v>
      </c>
      <c r="C6" s="11">
        <v>289</v>
      </c>
      <c r="D6" s="11">
        <v>217708.15999999997</v>
      </c>
      <c r="E6" s="11">
        <v>54.453148788927336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8287-F288-45D2-BB7C-95BEFD30900B}">
  <dimension ref="A1:B9"/>
  <sheetViews>
    <sheetView workbookViewId="0">
      <selection activeCell="A13" sqref="A13"/>
    </sheetView>
  </sheetViews>
  <sheetFormatPr defaultRowHeight="14.5" x14ac:dyDescent="0.35"/>
  <cols>
    <col min="1" max="1" width="19.81640625" customWidth="1"/>
    <col min="2" max="2" width="17.453125" customWidth="1"/>
  </cols>
  <sheetData>
    <row r="1" spans="1:2" x14ac:dyDescent="0.35">
      <c r="A1" s="7" t="s">
        <v>1409</v>
      </c>
      <c r="B1" s="8" t="s">
        <v>1381</v>
      </c>
    </row>
    <row r="2" spans="1:2" x14ac:dyDescent="0.35">
      <c r="A2" s="9" t="s">
        <v>63</v>
      </c>
      <c r="B2" s="8">
        <v>23781.170000000002</v>
      </c>
    </row>
    <row r="3" spans="1:2" x14ac:dyDescent="0.35">
      <c r="A3" s="9" t="s">
        <v>49</v>
      </c>
      <c r="B3" s="8">
        <v>42331.14</v>
      </c>
    </row>
    <row r="4" spans="1:2" x14ac:dyDescent="0.35">
      <c r="A4" s="9" t="s">
        <v>107</v>
      </c>
      <c r="B4" s="8">
        <v>41990.16</v>
      </c>
    </row>
    <row r="5" spans="1:2" x14ac:dyDescent="0.35">
      <c r="A5" s="9" t="s">
        <v>113</v>
      </c>
      <c r="B5" s="8">
        <v>133112.02999999997</v>
      </c>
    </row>
    <row r="6" spans="1:2" x14ac:dyDescent="0.35">
      <c r="A6" s="9" t="s">
        <v>96</v>
      </c>
      <c r="B6" s="8">
        <v>84444.999999999985</v>
      </c>
    </row>
    <row r="7" spans="1:2" x14ac:dyDescent="0.35">
      <c r="A7" s="9" t="s">
        <v>137</v>
      </c>
      <c r="B7" s="8">
        <v>40082.629999999997</v>
      </c>
    </row>
    <row r="8" spans="1:2" x14ac:dyDescent="0.35">
      <c r="A8" s="9" t="s">
        <v>81</v>
      </c>
      <c r="B8" s="8">
        <v>42479.25</v>
      </c>
    </row>
    <row r="9" spans="1:2" x14ac:dyDescent="0.35">
      <c r="A9" s="9" t="s">
        <v>1374</v>
      </c>
      <c r="B9" s="8">
        <v>408221.37999999995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5670-8AED-4EBF-9039-3E17DF0A721C}">
  <dimension ref="A1:B11"/>
  <sheetViews>
    <sheetView workbookViewId="0">
      <selection activeCell="C9" sqref="C9"/>
    </sheetView>
  </sheetViews>
  <sheetFormatPr defaultRowHeight="14.5" x14ac:dyDescent="0.35"/>
  <cols>
    <col min="1" max="1" width="33.1796875" customWidth="1"/>
    <col min="2" max="2" width="18.90625" customWidth="1"/>
  </cols>
  <sheetData>
    <row r="1" spans="1:2" x14ac:dyDescent="0.35">
      <c r="A1" s="12" t="s">
        <v>1386</v>
      </c>
      <c r="B1" s="12" t="s">
        <v>1387</v>
      </c>
    </row>
    <row r="2" spans="1:2" x14ac:dyDescent="0.35">
      <c r="A2" t="s">
        <v>1388</v>
      </c>
      <c r="B2">
        <v>289</v>
      </c>
    </row>
    <row r="3" spans="1:2" x14ac:dyDescent="0.35">
      <c r="A3" t="s">
        <v>1389</v>
      </c>
      <c r="B3">
        <v>41</v>
      </c>
    </row>
    <row r="4" spans="1:2" x14ac:dyDescent="0.35">
      <c r="A4" t="s">
        <v>1390</v>
      </c>
      <c r="B4">
        <v>0</v>
      </c>
    </row>
    <row r="5" spans="1:2" x14ac:dyDescent="0.35">
      <c r="A5" t="s">
        <v>1391</v>
      </c>
      <c r="B5">
        <v>0</v>
      </c>
    </row>
    <row r="6" spans="1:2" x14ac:dyDescent="0.35">
      <c r="A6" t="s">
        <v>1392</v>
      </c>
      <c r="B6" s="13">
        <v>44197</v>
      </c>
    </row>
    <row r="7" spans="1:2" x14ac:dyDescent="0.35">
      <c r="A7" t="s">
        <v>1393</v>
      </c>
      <c r="B7" s="13">
        <v>46002</v>
      </c>
    </row>
    <row r="8" spans="1:2" x14ac:dyDescent="0.35">
      <c r="A8" t="s">
        <v>1394</v>
      </c>
      <c r="B8">
        <v>289</v>
      </c>
    </row>
    <row r="9" spans="1:2" x14ac:dyDescent="0.35">
      <c r="A9" t="s">
        <v>1395</v>
      </c>
      <c r="B9" t="s">
        <v>50</v>
      </c>
    </row>
    <row r="10" spans="1:2" x14ac:dyDescent="0.35">
      <c r="A10" t="s">
        <v>1396</v>
      </c>
      <c r="B10" t="s">
        <v>54</v>
      </c>
    </row>
    <row r="11" spans="1:2" x14ac:dyDescent="0.35">
      <c r="A11" t="s">
        <v>1397</v>
      </c>
      <c r="B1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5C44-14B4-40F9-BA45-5A5665E78FF7}">
  <dimension ref="A1:A7"/>
  <sheetViews>
    <sheetView workbookViewId="0">
      <selection activeCell="A14" sqref="A14"/>
    </sheetView>
  </sheetViews>
  <sheetFormatPr defaultRowHeight="14.5" x14ac:dyDescent="0.35"/>
  <cols>
    <col min="1" max="1" width="84" customWidth="1"/>
  </cols>
  <sheetData>
    <row r="1" spans="1:1" ht="21" x14ac:dyDescent="0.5">
      <c r="A1" s="14" t="s">
        <v>1398</v>
      </c>
    </row>
    <row r="2" spans="1:1" ht="18.5" x14ac:dyDescent="0.45">
      <c r="A2" s="15" t="s">
        <v>1399</v>
      </c>
    </row>
    <row r="3" spans="1:1" ht="18.5" x14ac:dyDescent="0.45">
      <c r="A3" s="15" t="s">
        <v>1400</v>
      </c>
    </row>
    <row r="4" spans="1:1" ht="18.5" x14ac:dyDescent="0.45">
      <c r="A4" s="15" t="s">
        <v>1401</v>
      </c>
    </row>
    <row r="5" spans="1:1" ht="18.5" x14ac:dyDescent="0.45">
      <c r="A5" s="15" t="s">
        <v>1402</v>
      </c>
    </row>
    <row r="6" spans="1:1" ht="18.5" x14ac:dyDescent="0.45">
      <c r="A6" s="15" t="s">
        <v>1406</v>
      </c>
    </row>
    <row r="7" spans="1:1" ht="18.5" x14ac:dyDescent="0.45">
      <c r="A7" s="15" t="s">
        <v>1413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F6ED0-ED4C-473A-8EBE-0EA4A8E9C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ECommerce_sales_cleaned</vt:lpstr>
      <vt:lpstr>EDA_Analysis</vt:lpstr>
      <vt:lpstr>Yearly_Trend</vt:lpstr>
      <vt:lpstr>Channel_Analysis</vt:lpstr>
      <vt:lpstr>Region_Analysis</vt:lpstr>
      <vt:lpstr>Segment_Analysis</vt:lpstr>
      <vt:lpstr>Payment_Analysis</vt:lpstr>
      <vt:lpstr>Data_Quality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MEGHANA</cp:lastModifiedBy>
  <dcterms:created xsi:type="dcterms:W3CDTF">2026-09-23T07:21:42Z</dcterms:created>
  <dcterms:modified xsi:type="dcterms:W3CDTF">2026-09-27T07:07:20Z</dcterms:modified>
</cp:coreProperties>
</file>